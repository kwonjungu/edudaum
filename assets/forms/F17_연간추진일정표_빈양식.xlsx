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표" sheetId="1" state="visible" r:id="rId1"/>
  </sheets>
  <definedNames>
    <definedName name="_xlnm._FilterDatabase" localSheetId="0" hidden="1">'일정표'!$B$9:$K$28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 m. d."/>
  </numFmts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>
          <bgColor rgb="00FFC7CE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  <col width="52" customWidth="1" min="4" max="4"/>
    <col width="18" customWidth="1" min="5" max="5"/>
    <col width="24" customWidth="1" min="6" max="6"/>
    <col width="13" customWidth="1" min="7" max="7"/>
    <col width="8" customWidth="1" min="8" max="8"/>
    <col width="18" customWidth="1" min="9" max="9"/>
    <col width="8" customWidth="1" min="10" max="10"/>
    <col width="8" customWidth="1" min="11" max="11"/>
  </cols>
  <sheetData>
    <row r="1">
      <c r="B1" s="1" t="inlineStr">
        <is>
          <t>F17 학교자율시간 연간 추진 일정표 (학교용)</t>
        </is>
      </c>
    </row>
    <row r="2">
      <c r="B2" s="2" t="n"/>
    </row>
    <row r="3"/>
    <row r="4">
      <c r="B4" s="3" t="inlineStr">
        <is>
          <t>운영 학년도</t>
        </is>
      </c>
      <c r="C4" s="4" t="n">
        <v>2027</v>
      </c>
      <c r="D4" s="5" t="inlineStr">
        <is>
          <t>← 노란 칸만 고칩니다. 학기 시작일은 학교 학사일정으로 바꿉니다. 마감일은 자동 계산됩니다.</t>
        </is>
      </c>
    </row>
    <row r="5">
      <c r="B5" s="3" t="inlineStr">
        <is>
          <t>1학기 시작일</t>
        </is>
      </c>
      <c r="C5" s="6">
        <f>DATE(C4,3,2)</f>
        <v/>
      </c>
      <c r="D5" s="5" t="inlineStr">
        <is>
          <t>구분: 규정 = 문서에 정해진 기한 / 공문 기준 = 공문에 따른 기한(해마다 확인) / 권장 = 연구회가 권하는 시기 / 지원청 = 교육지원청 안내에 따름</t>
        </is>
      </c>
    </row>
    <row r="6">
      <c r="B6" s="3" t="inlineStr">
        <is>
          <t>2학기 시작일</t>
        </is>
      </c>
      <c r="C6" s="6">
        <f>DATE(C4,8,17)</f>
        <v/>
      </c>
      <c r="D6" s="5" t="inlineStr">
        <is>
          <t>갈래 열로 걸러 보세요(활동 / 새 과목 / 기승인 과목 / 공통).</t>
        </is>
      </c>
    </row>
    <row r="7">
      <c r="B7" s="3" t="inlineStr">
        <is>
          <t>운영 학기</t>
        </is>
      </c>
      <c r="C7" s="7" t="n">
        <v>1</v>
      </c>
      <c r="D7" s="5" t="inlineStr">
        <is>
          <t>← 【주문 시작일】: 교육지원청이 안내하는 교과용 도서 주문 기간의 첫날(기승인 과목 학운위 마감 계산용)</t>
        </is>
      </c>
    </row>
    <row r="8">
      <c r="B8" s="3" t="inlineStr">
        <is>
          <t>교과용 도서 주문 시작일</t>
        </is>
      </c>
      <c r="C8" s="6" t="n"/>
    </row>
    <row r="9">
      <c r="B9" s="3" t="inlineStr">
        <is>
          <t>단계</t>
        </is>
      </c>
      <c r="C9" s="3" t="inlineStr">
        <is>
          <t>갈래</t>
        </is>
      </c>
      <c r="D9" s="3" t="inlineStr">
        <is>
          <t>할 일</t>
        </is>
      </c>
      <c r="E9" s="3" t="inlineStr">
        <is>
          <t>누가</t>
        </is>
      </c>
      <c r="F9" s="3" t="inlineStr">
        <is>
          <t>기한 규칙</t>
        </is>
      </c>
      <c r="G9" s="3" t="inlineStr">
        <is>
          <t>마감일(자동)</t>
        </is>
      </c>
      <c r="H9" s="3" t="inlineStr">
        <is>
          <t>구분</t>
        </is>
      </c>
      <c r="I9" s="3" t="inlineStr">
        <is>
          <t>근거</t>
        </is>
      </c>
      <c r="J9" s="3" t="inlineStr">
        <is>
          <t>완료(O)</t>
        </is>
      </c>
      <c r="K9" s="3" t="inlineStr">
        <is>
          <t>상태</t>
        </is>
      </c>
    </row>
    <row r="10">
      <c r="B10" s="8" t="inlineStr">
        <is>
          <t>01 사전 준비</t>
        </is>
      </c>
      <c r="C10" s="8" t="inlineStr">
        <is>
          <t>공통</t>
        </is>
      </c>
      <c r="D10" s="9" t="inlineStr">
        <is>
          <t>교육과정 분석, 학교 여건·교육공동체 요구 조사(F10 설문, F07 W1~W3)</t>
        </is>
      </c>
      <c r="E10" s="9" t="inlineStr">
        <is>
          <t>교육과정 담당·전 교원</t>
        </is>
      </c>
      <c r="F10" s="9" t="inlineStr">
        <is>
          <t>전 학년도 9~10월</t>
        </is>
      </c>
      <c r="G10" s="10">
        <f>DATE($C$4-1,10,31)</f>
        <v/>
      </c>
      <c r="H10" s="8" t="inlineStr">
        <is>
          <t>권장</t>
        </is>
      </c>
      <c r="I10" s="9" t="inlineStr">
        <is>
          <t>GD p.9, WS p.4~5</t>
        </is>
      </c>
      <c r="J10" s="11" t="n"/>
      <c r="K10" s="8">
        <f>IF(J10="O","완료",IF(ISNUMBER(G10),IF(G10&lt;TODAY(),"지남",""),""))</f>
        <v/>
      </c>
    </row>
    <row r="11">
      <c r="B11" s="8" t="inlineStr">
        <is>
          <t>01 사전 준비</t>
        </is>
      </c>
      <c r="C11" s="8" t="inlineStr">
        <is>
          <t>공통</t>
        </is>
      </c>
      <c r="D11" s="9" t="inlineStr">
        <is>
          <t>주제·필요성·목표, 운영 방향·유형·시수 개요(F07 W4~W5)</t>
        </is>
      </c>
      <c r="E11" s="9" t="inlineStr">
        <is>
          <t>교육과정위원회</t>
        </is>
      </c>
      <c r="F11" s="9" t="inlineStr">
        <is>
          <t>전 학년도 10월</t>
        </is>
      </c>
      <c r="G11" s="10">
        <f>DATE($C$4-1,10,31)</f>
        <v/>
      </c>
      <c r="H11" s="8" t="inlineStr">
        <is>
          <t>권장</t>
        </is>
      </c>
      <c r="I11" s="9" t="inlineStr">
        <is>
          <t>WS p.6~7</t>
        </is>
      </c>
      <c r="J11" s="11" t="n"/>
      <c r="K11" s="8">
        <f>IF(J11="O","완료",IF(ISNUMBER(G11),IF(G11&lt;TODAY(),"지남",""),""))</f>
        <v/>
      </c>
    </row>
    <row r="12">
      <c r="B12" s="8" t="inlineStr">
        <is>
          <t>02 설계</t>
        </is>
      </c>
      <c r="C12" s="8" t="inlineStr">
        <is>
          <t>활동</t>
        </is>
      </c>
      <c r="D12" s="9" t="inlineStr">
        <is>
          <t>활동 설계: 활동명·영역·내용 체계·성취기준·교수·학습·평가(F07 W6~W9, F02)</t>
        </is>
      </c>
      <c r="E12" s="9" t="inlineStr">
        <is>
          <t>학년(교과)협의회</t>
        </is>
      </c>
      <c r="F12" s="9" t="inlineStr">
        <is>
          <t>전 학년도 11~12월</t>
        </is>
      </c>
      <c r="G12" s="10">
        <f>DATE($C$4-1,12,31)</f>
        <v/>
      </c>
      <c r="H12" s="8" t="inlineStr">
        <is>
          <t>권장</t>
        </is>
      </c>
      <c r="I12" s="9" t="inlineStr">
        <is>
          <t>GD p.8, WS p.8~13</t>
        </is>
      </c>
      <c r="J12" s="11" t="n"/>
      <c r="K12" s="8">
        <f>IF(J12="O","완료",IF(ISNUMBER(G12),IF(G12&lt;TODAY(),"지남",""),""))</f>
        <v/>
      </c>
    </row>
    <row r="13">
      <c r="B13" s="8" t="inlineStr">
        <is>
          <t>02 설계</t>
        </is>
      </c>
      <c r="C13" s="8" t="inlineStr">
        <is>
          <t>공통</t>
        </is>
      </c>
      <c r="D13" s="9" t="inlineStr">
        <is>
          <t>시수 편성 점검·편제표 작성(F09, F04)</t>
        </is>
      </c>
      <c r="E13" s="9" t="inlineStr">
        <is>
          <t>교육과정 담당</t>
        </is>
      </c>
      <c r="F13" s="9" t="inlineStr">
        <is>
          <t>설계와 함께</t>
        </is>
      </c>
      <c r="G13" s="10">
        <f>DATE($C$4-1,12,31)</f>
        <v/>
      </c>
      <c r="H13" s="8" t="inlineStr">
        <is>
          <t>권장</t>
        </is>
      </c>
      <c r="I13" s="9" t="inlineStr">
        <is>
          <t>GD p.12</t>
        </is>
      </c>
      <c r="J13" s="11" t="n"/>
      <c r="K13" s="8">
        <f>IF(J13="O","완료",IF(ISNUMBER(G13),IF(G13&lt;TODAY(),"지남",""),""))</f>
        <v/>
      </c>
    </row>
    <row r="14">
      <c r="B14" s="8" t="inlineStr">
        <is>
          <t>03 자체 점검</t>
        </is>
      </c>
      <c r="C14" s="8" t="inlineStr">
        <is>
          <t>활동</t>
        </is>
      </c>
      <c r="D14" s="9" t="inlineStr">
        <is>
          <t>활동 개설 검토 체크리스트(F06), 설계안 점검(F07 W10)</t>
        </is>
      </c>
      <c r="E14" s="9" t="inlineStr">
        <is>
          <t>작성 교사, 교감 확인</t>
        </is>
      </c>
      <c r="F14" s="9" t="inlineStr">
        <is>
          <t>컨설팅 신청 전</t>
        </is>
      </c>
      <c r="G14" s="10">
        <f>DATE($C$4-1,12,31)</f>
        <v/>
      </c>
      <c r="H14" s="8" t="inlineStr">
        <is>
          <t>권장</t>
        </is>
      </c>
      <c r="I14" s="9" t="inlineStr">
        <is>
          <t>GD p.48~49</t>
        </is>
      </c>
      <c r="J14" s="11" t="n"/>
      <c r="K14" s="8">
        <f>IF(J14="O","완료",IF(ISNUMBER(G14),IF(G14&lt;TODAY(),"지남",""),""))</f>
        <v/>
      </c>
    </row>
    <row r="15">
      <c r="B15" s="8" t="inlineStr">
        <is>
          <t>04 컨설팅·승인 신청</t>
        </is>
      </c>
      <c r="C15" s="8" t="inlineStr">
        <is>
          <t>활동</t>
        </is>
      </c>
      <c r="D15" s="9" t="inlineStr">
        <is>
          <t>교육지원청 컨설팅(신청서·체크리스트·시간배당)</t>
        </is>
      </c>
      <c r="E15" s="9" t="inlineStr">
        <is>
          <t>교육과정 담당</t>
        </is>
      </c>
      <c r="F15" s="9" t="inlineStr">
        <is>
          <t>교육지원청 안내 일정</t>
        </is>
      </c>
      <c r="G15" s="10" t="inlineStr">
        <is>
          <t>안내 일정 확인</t>
        </is>
      </c>
      <c r="H15" s="8" t="inlineStr">
        <is>
          <t>지원청</t>
        </is>
      </c>
      <c r="I15" s="9" t="inlineStr">
        <is>
          <t>QA Q7, 기준2026 p.3</t>
        </is>
      </c>
      <c r="J15" s="11" t="n"/>
      <c r="K15" s="8">
        <f>IF(J15="O","완료",IF(ISNUMBER(G15),IF(G15&lt;TODAY(),"지남",""),""))</f>
        <v/>
      </c>
    </row>
    <row r="16">
      <c r="B16" s="8" t="inlineStr">
        <is>
          <t>05 학운위 심의·결재</t>
        </is>
      </c>
      <c r="C16" s="8" t="inlineStr">
        <is>
          <t>활동</t>
        </is>
      </c>
      <c r="D16" s="9" t="inlineStr">
        <is>
          <t>학교운영위원회 심의(컨설팅 결과 반영, F11) → 학교장 결재(F12). 2학기 운영이어도 같음</t>
        </is>
      </c>
      <c r="E16" s="9" t="inlineStr">
        <is>
          <t>교육과정 담당</t>
        </is>
      </c>
      <c r="F16" s="9" t="inlineStr">
        <is>
          <t>학년도 시작 전(~2월 말)</t>
        </is>
      </c>
      <c r="G16" s="10">
        <f>DATE($C$4,3,1)-1</f>
        <v/>
      </c>
      <c r="H16" s="8" t="inlineStr">
        <is>
          <t>규정</t>
        </is>
      </c>
      <c r="I16" s="9" t="inlineStr">
        <is>
          <t>QA Q8, Q12</t>
        </is>
      </c>
      <c r="J16" s="11" t="n"/>
      <c r="K16" s="8">
        <f>IF(J16="O","완료",IF(ISNUMBER(G16),IF(G16&lt;TODAY(),"지남",""),""))</f>
        <v/>
      </c>
    </row>
    <row r="17">
      <c r="B17" s="8" t="inlineStr">
        <is>
          <t>02 설계</t>
        </is>
      </c>
      <c r="C17" s="8" t="inlineStr">
        <is>
          <t>새 과목</t>
        </is>
      </c>
      <c r="D17" s="9" t="inlineStr">
        <is>
          <t>과목 개발: 성격·목표·내용 체계·성취기준(개발만)·교수·학습·평가(F01)</t>
        </is>
      </c>
      <c r="E17" s="9" t="inlineStr">
        <is>
          <t>전문적학습공동체</t>
        </is>
      </c>
      <c r="F17" s="9" t="inlineStr">
        <is>
          <t>전 학년도 3~7월</t>
        </is>
      </c>
      <c r="G17" s="10">
        <f>DATE($C$4-1,7,31)</f>
        <v/>
      </c>
      <c r="H17" s="8" t="inlineStr">
        <is>
          <t>권장</t>
        </is>
      </c>
      <c r="I17" s="9" t="inlineStr">
        <is>
          <t>QA Q4, Q14</t>
        </is>
      </c>
      <c r="J17" s="11" t="n"/>
      <c r="K17" s="8">
        <f>IF(J17="O","완료",IF(ISNUMBER(G17),IF(G17&lt;TODAY(),"지남",""),""))</f>
        <v/>
      </c>
    </row>
    <row r="18">
      <c r="B18" s="8" t="inlineStr">
        <is>
          <t>03 자체 점검</t>
        </is>
      </c>
      <c r="C18" s="8" t="inlineStr">
        <is>
          <t>새 과목</t>
        </is>
      </c>
      <c r="D18" s="9" t="inlineStr">
        <is>
          <t>고시외 과목 승인 신청 전 검토 체크리스트(F05)</t>
        </is>
      </c>
      <c r="E18" s="9" t="inlineStr">
        <is>
          <t>작성 교사, 교감 확인</t>
        </is>
      </c>
      <c r="F18" s="9" t="inlineStr">
        <is>
          <t>승인 신청 전</t>
        </is>
      </c>
      <c r="G18" s="10">
        <f>DATE($C$4-1,8,15)</f>
        <v/>
      </c>
      <c r="H18" s="8" t="inlineStr">
        <is>
          <t>권장</t>
        </is>
      </c>
      <c r="I18" s="9" t="inlineStr">
        <is>
          <t>GD p.47</t>
        </is>
      </c>
      <c r="J18" s="11" t="n"/>
      <c r="K18" s="8">
        <f>IF(J18="O","완료",IF(ISNUMBER(G18),IF(G18&lt;TODAY(),"지남",""),""))</f>
        <v/>
      </c>
    </row>
    <row r="19">
      <c r="B19" s="8" t="inlineStr">
        <is>
          <t>04 컨설팅·승인 신청</t>
        </is>
      </c>
      <c r="C19" s="8" t="inlineStr">
        <is>
          <t>새 과목</t>
        </is>
      </c>
      <c r="D19" s="9" t="inlineStr">
        <is>
          <t>고시 외 과목 승인 신청서 제출(교육지원청 경유 교육감). 학교→지원청 제출일은 지원청 안내</t>
        </is>
      </c>
      <c r="E19" s="9" t="inlineStr">
        <is>
          <t>학교장</t>
        </is>
      </c>
      <c r="F19" s="9" t="inlineStr">
        <is>
          <t>개설 전 학년도 8월 31일까지</t>
        </is>
      </c>
      <c r="G19" s="10">
        <f>DATE($C$4-1,8,31)</f>
        <v/>
      </c>
      <c r="H19" s="8" t="inlineStr">
        <is>
          <t>규정</t>
        </is>
      </c>
      <c r="I19" s="9" t="inlineStr">
        <is>
          <t>기준2026 p.2</t>
        </is>
      </c>
      <c r="J19" s="11" t="n"/>
      <c r="K19" s="8">
        <f>IF(J19="O","완료",IF(ISNUMBER(G19),IF(G19&lt;TODAY(),"지남",""),""))</f>
        <v/>
      </c>
    </row>
    <row r="20">
      <c r="B20" s="8" t="inlineStr">
        <is>
          <t>04 컨설팅·승인 신청</t>
        </is>
      </c>
      <c r="C20" s="8" t="inlineStr">
        <is>
          <t>새 과목</t>
        </is>
      </c>
      <c r="D20" s="9" t="inlineStr">
        <is>
          <t>인정도서 승인 신청(기존 개발 도서·자체 개발 도서를 쓸 때)</t>
        </is>
      </c>
      <c r="E20" s="9" t="inlineStr">
        <is>
          <t>학교장</t>
        </is>
      </c>
      <c r="F20" s="9" t="inlineStr">
        <is>
          <t>사용 학기 시작 3개월 전까지</t>
        </is>
      </c>
      <c r="G20" s="10">
        <f>EDATE(IF($C$7=2,$C$6,$C$5),-3)</f>
        <v/>
      </c>
      <c r="H20" s="8" t="inlineStr">
        <is>
          <t>규정</t>
        </is>
      </c>
      <c r="I20" s="9" t="inlineStr">
        <is>
          <t>GD p.34~35</t>
        </is>
      </c>
      <c r="J20" s="11" t="n"/>
      <c r="K20" s="8">
        <f>IF(J20="O","완료",IF(ISNUMBER(G20),IF(G20&lt;TODAY(),"지남",""),""))</f>
        <v/>
      </c>
    </row>
    <row r="21">
      <c r="B21" s="8" t="inlineStr">
        <is>
          <t>05 학운위 심의·결재</t>
        </is>
      </c>
      <c r="C21" s="8" t="inlineStr">
        <is>
          <t>새 과목</t>
        </is>
      </c>
      <c r="D21" s="9" t="inlineStr">
        <is>
          <t>자체 교수·학습 자료 학운위 심의 후 학교장 결정</t>
        </is>
      </c>
      <c r="E21" s="9" t="inlineStr">
        <is>
          <t>교육과정 담당</t>
        </is>
      </c>
      <c r="F21" s="9" t="inlineStr">
        <is>
          <t>1학기 2~3월 / 2학기 8~9월</t>
        </is>
      </c>
      <c r="G21" s="10">
        <f>IF($C$7=2,DATE($C$4,9,30),DATE($C$4,3,31))</f>
        <v/>
      </c>
      <c r="H21" s="8" t="inlineStr">
        <is>
          <t>규정</t>
        </is>
      </c>
      <c r="I21" s="9" t="inlineStr">
        <is>
          <t>GD p.35, QA Q39</t>
        </is>
      </c>
      <c r="J21" s="11" t="n"/>
      <c r="K21" s="8">
        <f>IF(J21="O","완료",IF(ISNUMBER(G21),IF(G21&lt;TODAY(),"지남",""),""))</f>
        <v/>
      </c>
    </row>
    <row r="22">
      <c r="B22" s="8" t="inlineStr">
        <is>
          <t>05 학운위 심의·결재</t>
        </is>
      </c>
      <c r="C22" s="8" t="inlineStr">
        <is>
          <t>기승인 과목</t>
        </is>
      </c>
      <c r="D22" s="9" t="inlineStr">
        <is>
          <t>학운위 심의(연계 인정도서 사용 사항 함께) → 학교장 결재. 별도 서류 제출 없음</t>
        </is>
      </c>
      <c r="E22" s="9" t="inlineStr">
        <is>
          <t>교육과정 담당</t>
        </is>
      </c>
      <c r="F22" s="9" t="inlineStr">
        <is>
          <t>교과용 도서 주문 기간 이전까지 심의 완료(주문 시작일 전날)</t>
        </is>
      </c>
      <c r="G22" s="10">
        <f>IF($C$8="","주문 시작일 입력",$C$8-1)</f>
        <v/>
      </c>
      <c r="H22" s="8" t="inlineStr">
        <is>
          <t>공문 기준(해마다 확인)</t>
        </is>
      </c>
      <c r="I22" s="9" t="inlineStr">
        <is>
          <t>공문2026 2.다.1)~3)</t>
        </is>
      </c>
      <c r="J22" s="11" t="n"/>
      <c r="K22" s="8">
        <f>IF(J22="O","완료",IF(ISNUMBER(G22),IF(G22&lt;TODAY(),"지남",""),""))</f>
        <v/>
      </c>
    </row>
    <row r="23">
      <c r="B23" s="8" t="inlineStr">
        <is>
          <t>06 나이스 입력·기록</t>
        </is>
      </c>
      <c r="C23" s="8" t="inlineStr">
        <is>
          <t>공통</t>
        </is>
      </c>
      <c r="D23" s="9" t="inlineStr">
        <is>
          <t>나이스 편제·시수 등록([교과편제관리]-[학교교육과정편제및시간배당관리])</t>
        </is>
      </c>
      <c r="E23" s="9" t="inlineStr">
        <is>
          <t>교육과정 담당</t>
        </is>
      </c>
      <c r="F23" s="9" t="inlineStr">
        <is>
          <t>학기 초</t>
        </is>
      </c>
      <c r="G23" s="10">
        <f>IF($C$7=2,$C$6,$C$5)+13</f>
        <v/>
      </c>
      <c r="H23" s="8" t="inlineStr">
        <is>
          <t>권장</t>
        </is>
      </c>
      <c r="I23" s="9" t="inlineStr">
        <is>
          <t>GD p.23~24, QA Q45</t>
        </is>
      </c>
      <c r="J23" s="11" t="n"/>
      <c r="K23" s="8">
        <f>IF(J23="O","완료",IF(ISNUMBER(G23),IF(G23&lt;TODAY(),"지남",""),""))</f>
        <v/>
      </c>
    </row>
    <row r="24">
      <c r="B24" s="8" t="inlineStr">
        <is>
          <t>06 나이스 입력·기록</t>
        </is>
      </c>
      <c r="C24" s="8" t="inlineStr">
        <is>
          <t>공통</t>
        </is>
      </c>
      <c r="D24" s="9" t="inlineStr">
        <is>
          <t>평가계획 입력(F14)·학업성적관리위원회 심의·마감</t>
        </is>
      </c>
      <c r="E24" s="9" t="inlineStr">
        <is>
          <t>평가 담당·담당 교사</t>
        </is>
      </c>
      <c r="F24" s="9" t="inlineStr">
        <is>
          <t>학기 초(학교 평가계획 일정)</t>
        </is>
      </c>
      <c r="G24" s="10">
        <f>IF($C$7=2,$C$6,$C$5)+30</f>
        <v/>
      </c>
      <c r="H24" s="8" t="inlineStr">
        <is>
          <t>권장</t>
        </is>
      </c>
      <c r="I24" s="9" t="inlineStr">
        <is>
          <t>GD p.29~31</t>
        </is>
      </c>
      <c r="J24" s="11" t="n"/>
      <c r="K24" s="8">
        <f>IF(J24="O","완료",IF(ISNUMBER(G24),IF(G24&lt;TODAY(),"지남",""),""))</f>
        <v/>
      </c>
    </row>
    <row r="25">
      <c r="B25" s="8" t="inlineStr">
        <is>
          <t>06 나이스 입력·기록</t>
        </is>
      </c>
      <c r="C25" s="8" t="inlineStr">
        <is>
          <t>공통</t>
        </is>
      </c>
      <c r="D25" s="9" t="inlineStr">
        <is>
          <t>평가요소별 결과 누적 입력</t>
        </is>
      </c>
      <c r="E25" s="9" t="inlineStr">
        <is>
          <t>담당 교사</t>
        </is>
      </c>
      <c r="F25" s="9" t="inlineStr">
        <is>
          <t>학기 중</t>
        </is>
      </c>
      <c r="G25" s="10" t="inlineStr">
        <is>
          <t>안내 일정 확인</t>
        </is>
      </c>
      <c r="H25" s="8" t="inlineStr">
        <is>
          <t>권장</t>
        </is>
      </c>
      <c r="I25" s="9" t="inlineStr">
        <is>
          <t>QA Q45</t>
        </is>
      </c>
      <c r="J25" s="11" t="n"/>
      <c r="K25" s="8">
        <f>IF(J25="O","완료",IF(ISNUMBER(G25),IF(G25&lt;TODAY(),"지남",""),""))</f>
        <v/>
      </c>
    </row>
    <row r="26">
      <c r="B26" s="8" t="inlineStr">
        <is>
          <t>06 나이스 입력·기록</t>
        </is>
      </c>
      <c r="C26" s="8" t="inlineStr">
        <is>
          <t>공통</t>
        </is>
      </c>
      <c r="D26" s="9" t="inlineStr">
        <is>
          <t>학기말 세부능력 및 특기사항 입력(F15 점검, 시간·기간 쓰지 않음)</t>
        </is>
      </c>
      <c r="E26" s="9" t="inlineStr">
        <is>
          <t>담당 교사</t>
        </is>
      </c>
      <c r="F26" s="9" t="inlineStr">
        <is>
          <t>학기 말</t>
        </is>
      </c>
      <c r="G26" s="10">
        <f>IF($C$7=2,DATE($C$4+1,2,10),DATE($C$4,7,20))</f>
        <v/>
      </c>
      <c r="H26" s="8" t="inlineStr">
        <is>
          <t>권장</t>
        </is>
      </c>
      <c r="I26" s="9" t="inlineStr">
        <is>
          <t>QA Q45, GD p.32</t>
        </is>
      </c>
      <c r="J26" s="11" t="n"/>
      <c r="K26" s="8">
        <f>IF(J26="O","완료",IF(ISNUMBER(G26),IF(G26&lt;TODAY(),"지남",""),""))</f>
        <v/>
      </c>
    </row>
    <row r="27">
      <c r="B27" s="8" t="inlineStr">
        <is>
          <t>07 성찰·보완</t>
        </is>
      </c>
      <c r="C27" s="8" t="inlineStr">
        <is>
          <t>공통</t>
        </is>
      </c>
      <c r="D27" s="9" t="inlineStr">
        <is>
          <t>의견 수렴(학생·학부모·교원) 및 차년도 보완 협의(F19)</t>
        </is>
      </c>
      <c r="E27" s="9" t="inlineStr">
        <is>
          <t>교육과정위원회</t>
        </is>
      </c>
      <c r="F27" s="9" t="inlineStr">
        <is>
          <t>학기 말~학년도 말</t>
        </is>
      </c>
      <c r="G27" s="10">
        <f>IF($C$7=2,DATE($C$4+1,2,20),DATE($C$4,7,31))</f>
        <v/>
      </c>
      <c r="H27" s="8" t="inlineStr">
        <is>
          <t>권장</t>
        </is>
      </c>
      <c r="I27" s="9" t="inlineStr">
        <is>
          <t>GD p.9, 기준2026 p.2</t>
        </is>
      </c>
      <c r="J27" s="11" t="n"/>
      <c r="K27" s="8">
        <f>IF(J27="O","완료",IF(ISNUMBER(G27),IF(G27&lt;TODAY(),"지남",""),""))</f>
        <v/>
      </c>
    </row>
    <row r="28">
      <c r="B28" s="8" t="inlineStr">
        <is>
          <t>07 성찰·보완</t>
        </is>
      </c>
      <c r="C28" s="8" t="inlineStr">
        <is>
          <t>공통</t>
        </is>
      </c>
      <c r="D28" s="9" t="inlineStr">
        <is>
          <t>변경 사항이 있으면 절차 판정(F16) 후 재심의</t>
        </is>
      </c>
      <c r="E28" s="9" t="inlineStr">
        <is>
          <t>교육과정 담당</t>
        </is>
      </c>
      <c r="F28" s="9" t="inlineStr">
        <is>
          <t>다음 학년도 설계 전</t>
        </is>
      </c>
      <c r="G28" s="10">
        <f>DATE($C$4,10,31)</f>
        <v/>
      </c>
      <c r="H28" s="8" t="inlineStr">
        <is>
          <t>권장</t>
        </is>
      </c>
      <c r="I28" s="9" t="inlineStr">
        <is>
          <t>QA Q9</t>
        </is>
      </c>
      <c r="J28" s="11" t="n"/>
      <c r="K28" s="8">
        <f>IF(J28="O","완료",IF(ISNUMBER(G28),IF(G28&lt;TODAY(),"지남",""),""))</f>
        <v/>
      </c>
    </row>
    <row r="29"/>
    <row r="30" ht="18" customHeight="1">
      <c r="B30" s="5" t="inlineStr">
        <is>
          <t>※ 2027학년도 1학기에 기승인 과목 인정도서를 쓰려면 교과용 도서 주문 기간(2026. 10월 말) 전에 학운위 심의를 마쳐야 함(공문2026). 주문 기간 뒤 심의하면 그 학기 인정도서 주문 불가.</t>
        </is>
      </c>
    </row>
    <row r="31" ht="18" customHeight="1">
      <c r="B31" s="5" t="inlineStr">
        <is>
          <t>※ 2027학년도부터 3~6학년 각 학년별 1개 학기 이상 편성(기준2026 p.2). 학년마다 이 표를 하나씩 복사해 쓰면 됨.</t>
        </is>
      </c>
    </row>
    <row r="32" ht="18" customHeight="1">
      <c r="B32" s="5" t="inlineStr">
        <is>
          <t>※ 과목 승인 신청의 학교→교육지원청 제출일은 해마다 공문으로 정해짐(2024년 예: 8월 중순). 반드시 교육지원청 안내를 확인함.</t>
        </is>
      </c>
    </row>
  </sheetData>
  <autoFilter ref="B9:K28"/>
  <mergeCells count="9">
    <mergeCell ref="B31:K31"/>
    <mergeCell ref="B1:K1"/>
    <mergeCell ref="D7:K7"/>
    <mergeCell ref="B32:K32"/>
    <mergeCell ref="D6:K6"/>
    <mergeCell ref="B30:K30"/>
    <mergeCell ref="D5:K5"/>
    <mergeCell ref="B2:K2"/>
    <mergeCell ref="D4:K4"/>
  </mergeCells>
  <conditionalFormatting sqref="K10:K28">
    <cfRule type="expression" priority="1" dxfId="0">
      <formula>OR(K10="불가",K10="확인 필요",K10="미충족",K10="미편성",K10="분산",K10="지남")</formula>
    </cfRule>
    <cfRule type="expression" priority="2" dxfId="1">
      <formula>OR(K10="가능",K10="적합",K10="충족",K10="편성",K10="완료")</formula>
    </cfRule>
  </conditionalFormatting>
  <dataValidations count="1">
    <dataValidation sqref="C7" showDropDown="0" showInputMessage="0" showErrorMessage="0" allowBlank="0" type="list">
      <formula1>"1,2"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2026-09-28T03:53:51Z</dcterms:modified>
</cp:coreProperties>
</file>