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3·4학년" sheetId="2" state="visible" r:id="rId2"/>
    <sheet xmlns:r="http://schemas.openxmlformats.org/officeDocument/2006/relationships" name="5·6학년" sheetId="3" state="visible" r:id="rId3"/>
    <sheet xmlns:r="http://schemas.openxmlformats.org/officeDocument/2006/relationships" name="판정사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E7" authorId="0" shapeId="0">
      <text>
        <t>【-8】 학교에서 조정. 기준 204시간에서 -8시간 조정한 예시 값임(F04 편제표와 같음). 감축 교과와 시수는 학교가 정하고 이 표로 다시 검산함.</t>
      </text>
    </comment>
    <comment ref="F7" authorId="0" shapeId="0">
      <text>
        <t>【-8】 학교에서 조정. 기준 204시간에서 -8시간 조정한 예시 값임(F04 편제표와 같음). 감축 교과와 시수는 학교가 정하고 이 표로 다시 검산함.</t>
      </text>
    </comment>
    <comment ref="E8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8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9" authorId="0" shapeId="0">
      <text>
        <t>【-2】 학교에서 조정. 기준 34시간에서 -2시간 조정한 예시 값임(F04 편제표와 같음). 감축 교과와 시수는 학교가 정하고 이 표로 다시 검산함.</t>
      </text>
    </comment>
    <comment ref="F9" authorId="0" shapeId="0">
      <text>
        <t>【-2】 학교에서 조정. 기준 34시간에서 -2시간 조정한 예시 값임(F04 편제표와 같음). 감축 교과와 시수는 학교가 정하고 이 표로 다시 검산함.</t>
      </text>
    </comment>
    <comment ref="E10" authorId="0" shapeId="0">
      <text>
        <t>【-6】 학교에서 조정. 기준 136시간에서 -6시간 조정한 예시 값임(F04 편제표와 같음). 감축 교과와 시수는 학교가 정하고 이 표로 다시 검산함.</t>
      </text>
    </comment>
    <comment ref="F10" authorId="0" shapeId="0">
      <text>
        <t>【-6】 학교에서 조정. 기준 136시간에서 -6시간 조정한 예시 값임(F04 편제표와 같음). 감축 교과와 시수는 학교가 정하고 이 표로 다시 검산함.</t>
      </text>
    </comment>
    <comment ref="E11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1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16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6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17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7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22" authorId="0" shapeId="0">
      <text>
        <t>【1학기】 학교에서 조정. 2학기에 운영하면 2를 넣음(한 학기에 32시간을 모두 운영, 1·2학기 분산 불가).</t>
      </text>
    </comment>
    <comment ref="F23" authorId="0" shapeId="0">
      <text>
        <t>【1학기】 학교에서 조정. 2학기에 운영하면 2를 넣음(한 학기에 32시간을 모두 운영, 1·2학기 분산 불가).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F09 학교자율시간 시수 편성 점검표 — 사용 안내</t>
        </is>
      </c>
    </row>
    <row r="2">
      <c r="B2" s="2" t="n"/>
    </row>
    <row r="3"/>
    <row r="4" ht="18" customHeight="1">
      <c r="B4" s="3" t="inlineStr">
        <is>
          <t>쓰는 차례</t>
        </is>
      </c>
    </row>
    <row r="5" ht="18" customHeight="1">
      <c r="B5" s="4" t="inlineStr">
        <is>
          <t>1) 학년군 시트(3·4학년 또는 5·6학년)를 엽니다.</t>
        </is>
      </c>
    </row>
    <row r="6" ht="18" customHeight="1">
      <c r="B6" s="4" t="inlineStr">
        <is>
          <t>2) 1번 표에 학년별 교과·창의적 체험활동 시수를 넣습니다. 학교자율시간 시수는 넣지 않습니다(학교자율시간을 위해 줄인 뒤의 시수).</t>
        </is>
      </c>
    </row>
    <row r="7" ht="18" customHeight="1">
      <c r="B7" s="4" t="inlineStr">
        <is>
          <t>3) 2번 표에 학교자율시간을 한 줄씩 넣습니다: 과목·활동명, 편성 교과, 학년, 학기, 시수.</t>
        </is>
      </c>
    </row>
    <row r="8" ht="18" customHeight="1">
      <c r="B8" s="4" t="inlineStr">
        <is>
          <t>4) 3번(교과(군))·4번(학년·학기)·5번(종합) 판정을 확인합니다. 초록=가능, 빨강=불가·확인 필요.</t>
        </is>
      </c>
    </row>
    <row r="9" ht="32" customHeight="1">
      <c r="B9" s="4" t="inlineStr">
        <is>
          <t>5) 결과를 F04 교육과정 편제표(HWPX)에 옮겨 적습니다. 편제표의 "계(증감)" 칸은 3번 표의 "최종 시수(편제표 계)"(학교자율시간 포함)와 그 증감, 학교자율시간 행은 2번 표의 시수입니다(BBS 예시 편제와 같은 방식). 1번 표의 계는 편제표 계가 아닙니다.</t>
        </is>
      </c>
    </row>
    <row r="10" ht="18" customHeight="1">
      <c r="B10" s="4" t="inlineStr"/>
    </row>
    <row r="11" ht="18" customHeight="1">
      <c r="B11" s="3" t="inlineStr">
        <is>
          <t>이 점검표가 확인하지 않는 것</t>
        </is>
      </c>
    </row>
    <row r="12" ht="18" customHeight="1">
      <c r="B12" s="4" t="inlineStr">
        <is>
          <t>- 감축한 교과의 성취기준을 모두 이수할 수 있는지(교과협의회에서 따로 점검) [기준2026 p.2]</t>
        </is>
      </c>
    </row>
    <row r="13" ht="18" customHeight="1">
      <c r="B13" s="4" t="inlineStr">
        <is>
          <t>- 학교자율시간이 내용·성격에 가장 가까운 교과에 편성되었는지 [WS p.14]</t>
        </is>
      </c>
    </row>
    <row r="14" ht="18" customHeight="1">
      <c r="B14" s="4" t="inlineStr">
        <is>
          <t>- 특정 교과·창의적 체험활동을 지나치게 줄였는지(범위 안이라도 교육적 판단 필요) [GD p.12]</t>
        </is>
      </c>
    </row>
    <row r="15" ht="18" customHeight="1">
      <c r="B15" s="4" t="inlineStr"/>
    </row>
    <row r="16" ht="32" customHeight="1">
      <c r="B16" s="4" t="inlineStr">
        <is>
          <t>근거 문서: 기준2026 = 경기도교육청 초등교육과 「초등학교 학교자율시간 편성·운영 기준 안내」(2026) / GD = 초등 『학교자율시간』 이해와 실제 안내자료(2025. 9.) / QA = 학교자율시간 궁금한 이야기(2025. 9.) / WS = 워크시트(2025. 9.)</t>
        </is>
      </c>
    </row>
    <row r="17" ht="18" customHeight="1">
      <c r="B17" s="4" t="inlineStr">
        <is>
          <t>원래 2024년 예시자료(BBS p.324)에 "별첨 엑셀파일[학교자율시간 시수 편성 점검표]"로 언급만 되고 원본이 없어 연구회가 새로 만든 파일입니다.</t>
        </is>
      </c>
    </row>
  </sheetData>
  <mergeCells count="16">
    <mergeCell ref="B15:J15"/>
    <mergeCell ref="B7:J7"/>
    <mergeCell ref="B11:J11"/>
    <mergeCell ref="B5:J5"/>
    <mergeCell ref="B10:J10"/>
    <mergeCell ref="B16:J16"/>
    <mergeCell ref="B14:J14"/>
    <mergeCell ref="B17:J17"/>
    <mergeCell ref="B9:J9"/>
    <mergeCell ref="B1:J1"/>
    <mergeCell ref="B8:J8"/>
    <mergeCell ref="B4:J4"/>
    <mergeCell ref="B12:J12"/>
    <mergeCell ref="B13:J13"/>
    <mergeCell ref="B6:J6"/>
    <mergeCell ref="B2:J2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(3·4학년)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/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3학년</t>
        </is>
      </c>
      <c r="F6" s="7" t="inlineStr">
        <is>
          <t>4학년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204</v>
      </c>
      <c r="F7" s="10" t="n">
        <v>204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102</v>
      </c>
      <c r="F8" s="10" t="n">
        <v>102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34</v>
      </c>
      <c r="F9" s="10" t="n">
        <v>34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136</v>
      </c>
      <c r="F10" s="10" t="n">
        <v>136</v>
      </c>
      <c r="G10" s="8">
        <f>E10+F10</f>
        <v/>
      </c>
      <c r="H10" s="8">
        <f>G10-D10</f>
        <v/>
      </c>
    </row>
    <row r="11">
      <c r="B11" s="8" t="inlineStr">
        <is>
          <t>과학</t>
        </is>
      </c>
      <c r="C11" s="8" t="inlineStr">
        <is>
          <t>과학</t>
        </is>
      </c>
      <c r="D11" s="9" t="n">
        <v>204</v>
      </c>
      <c r="E11" s="10" t="n">
        <v>102</v>
      </c>
      <c r="F11" s="10" t="n">
        <v>102</v>
      </c>
      <c r="G11" s="8">
        <f>E11+F11</f>
        <v/>
      </c>
      <c r="H11" s="8">
        <f>G11-D11</f>
        <v/>
      </c>
    </row>
    <row r="12">
      <c r="B12" s="8" t="inlineStr">
        <is>
          <t>체육</t>
        </is>
      </c>
      <c r="C12" s="8" t="inlineStr">
        <is>
          <t>체육</t>
        </is>
      </c>
      <c r="D12" s="9" t="n">
        <v>204</v>
      </c>
      <c r="E12" s="10" t="n">
        <v>102</v>
      </c>
      <c r="F12" s="10" t="n">
        <v>102</v>
      </c>
      <c r="G12" s="8">
        <f>E12+F12</f>
        <v/>
      </c>
      <c r="H12" s="8">
        <f>G12-D12</f>
        <v/>
      </c>
    </row>
    <row r="13">
      <c r="B13" s="8" t="inlineStr">
        <is>
          <t>예술(음악/미술)</t>
        </is>
      </c>
      <c r="C13" s="8" t="inlineStr">
        <is>
          <t>음악</t>
        </is>
      </c>
      <c r="D13" s="9" t="n">
        <v>136</v>
      </c>
      <c r="E13" s="10" t="n">
        <v>68</v>
      </c>
      <c r="F13" s="10" t="n">
        <v>68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미술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영어</t>
        </is>
      </c>
      <c r="C15" s="8" t="inlineStr">
        <is>
          <t>영어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창의적체험활동</t>
        </is>
      </c>
      <c r="C16" s="8" t="inlineStr">
        <is>
          <t>창의적체험활동</t>
        </is>
      </c>
      <c r="D16" s="9" t="n">
        <v>204</v>
      </c>
      <c r="E16" s="10" t="n">
        <v>102</v>
      </c>
      <c r="F16" s="10" t="n">
        <v>102</v>
      </c>
      <c r="G16" s="8">
        <f>E16+F16</f>
        <v/>
      </c>
      <c r="H16" s="8">
        <f>G16-D16</f>
        <v/>
      </c>
    </row>
    <row r="17">
      <c r="B17" s="11" t="inlineStr">
        <is>
          <t>소계</t>
        </is>
      </c>
      <c r="C17" s="12" t="inlineStr"/>
      <c r="D17" s="13">
        <f>SUM(D7:D16)</f>
        <v/>
      </c>
      <c r="E17" s="13">
        <f>SUM(E7:E16)</f>
        <v/>
      </c>
      <c r="F17" s="13">
        <f>SUM(F7:F16)</f>
        <v/>
      </c>
      <c r="G17" s="13">
        <f>SUM(G7:G16)</f>
        <v/>
      </c>
      <c r="H17" s="13">
        <f>SUM(H7:H16)</f>
        <v/>
      </c>
    </row>
    <row r="18"/>
    <row r="19">
      <c r="B19" s="6" t="inlineStr">
        <is>
          <t>2. 학교자율시간 입력(한 줄에 한 과목·활동, 한 학기분)</t>
        </is>
      </c>
    </row>
    <row r="20">
      <c r="B20" s="7" t="inlineStr">
        <is>
          <t>번호</t>
        </is>
      </c>
      <c r="C20" s="7" t="inlineStr">
        <is>
          <t>과목·활동명</t>
        </is>
      </c>
      <c r="D20" s="7" t="inlineStr">
        <is>
          <t>편성 교과</t>
        </is>
      </c>
      <c r="E20" s="7" t="inlineStr">
        <is>
          <t>학년</t>
        </is>
      </c>
      <c r="F20" s="7" t="inlineStr">
        <is>
          <t>학기</t>
        </is>
      </c>
      <c r="G20" s="7" t="inlineStr">
        <is>
          <t>시수</t>
        </is>
      </c>
      <c r="H20" s="7" t="inlineStr">
        <is>
          <t>분산 확인</t>
        </is>
      </c>
    </row>
    <row r="21">
      <c r="B21" s="9" t="n">
        <v>1</v>
      </c>
      <c r="C21" s="14" t="n"/>
      <c r="D21" s="14" t="n"/>
      <c r="E21" s="14" t="n"/>
      <c r="F21" s="14" t="n"/>
      <c r="G21" s="14" t="n"/>
      <c r="H21" s="8">
        <f>IF(C21="","",IF(COUNTIFS($C$21:$C$26,C21&amp;"",$E$21:$E$26,E21&amp;"",$F$21:$F$26,"&lt;&gt;"&amp;F21)&gt;0,"분산",""))</f>
        <v/>
      </c>
    </row>
    <row r="22">
      <c r="B22" s="9" t="n">
        <v>2</v>
      </c>
      <c r="C22" s="14" t="n"/>
      <c r="D22" s="14" t="n"/>
      <c r="E22" s="14" t="n"/>
      <c r="F22" s="14" t="n"/>
      <c r="G22" s="14" t="n"/>
      <c r="H22" s="8">
        <f>IF(C22="","",IF(COUNTIFS($C$21:$C$26,C22&amp;"",$E$21:$E$26,E22&amp;"",$F$21:$F$26,"&lt;&gt;"&amp;F22)&gt;0,"분산",""))</f>
        <v/>
      </c>
    </row>
    <row r="23">
      <c r="B23" s="9" t="n">
        <v>3</v>
      </c>
      <c r="C23" s="14" t="n"/>
      <c r="D23" s="14" t="n"/>
      <c r="E23" s="14" t="n"/>
      <c r="F23" s="14" t="n"/>
      <c r="G23" s="14" t="n"/>
      <c r="H23" s="8">
        <f>IF(C23="","",IF(COUNTIFS($C$21:$C$26,C23&amp;"",$E$21:$E$26,E23&amp;"",$F$21:$F$26,"&lt;&gt;"&amp;F23)&gt;0,"분산",""))</f>
        <v/>
      </c>
    </row>
    <row r="24">
      <c r="B24" s="9" t="n">
        <v>4</v>
      </c>
      <c r="C24" s="14" t="n"/>
      <c r="D24" s="14" t="n"/>
      <c r="E24" s="14" t="n"/>
      <c r="F24" s="14" t="n"/>
      <c r="G24" s="14" t="n"/>
      <c r="H24" s="8">
        <f>IF(C24="","",IF(COUNTIFS($C$21:$C$26,C24&amp;"",$E$21:$E$26,E24&amp;"",$F$21:$F$26,"&lt;&gt;"&amp;F24)&gt;0,"분산",""))</f>
        <v/>
      </c>
    </row>
    <row r="25">
      <c r="B25" s="9" t="n">
        <v>5</v>
      </c>
      <c r="C25" s="14" t="n"/>
      <c r="D25" s="14" t="n"/>
      <c r="E25" s="14" t="n"/>
      <c r="F25" s="14" t="n"/>
      <c r="G25" s="14" t="n"/>
      <c r="H25" s="8">
        <f>IF(C25="","",IF(COUNTIFS($C$21:$C$26,C25&amp;"",$E$21:$E$26,E25&amp;"",$F$21:$F$26,"&lt;&gt;"&amp;F25)&gt;0,"분산",""))</f>
        <v/>
      </c>
    </row>
    <row r="26">
      <c r="B26" s="9" t="n">
        <v>6</v>
      </c>
      <c r="C26" s="14" t="n"/>
      <c r="D26" s="14" t="n"/>
      <c r="E26" s="14" t="n"/>
      <c r="F26" s="14" t="n"/>
      <c r="G26" s="14" t="n"/>
      <c r="H26" s="8">
        <f>IF(C26="","",IF(COUNTIFS($C$21:$C$26,C26&amp;"",$E$21:$E$26,E26&amp;"",$F$21:$F$26,"&lt;&gt;"&amp;F26)&gt;0,"분산",""))</f>
        <v/>
      </c>
    </row>
    <row r="27"/>
    <row r="28">
      <c r="B28" s="6" t="inlineStr">
        <is>
          <t>3. 교과(군) 판정</t>
        </is>
      </c>
    </row>
    <row r="29">
      <c r="B29" s="7" t="inlineStr">
        <is>
          <t>교과(군)</t>
        </is>
      </c>
      <c r="C29" s="7" t="inlineStr">
        <is>
          <t>국가 기준</t>
        </is>
      </c>
      <c r="D29" s="7" t="inlineStr">
        <is>
          <t>허용 폭(20%)</t>
        </is>
      </c>
      <c r="E29" s="7" t="inlineStr">
        <is>
          <t>최종 하한</t>
        </is>
      </c>
      <c r="F29" s="7" t="inlineStr">
        <is>
          <t>최종 상한</t>
        </is>
      </c>
      <c r="G29" s="7" t="inlineStr">
        <is>
          <t>편성(자율 제외)</t>
        </is>
      </c>
      <c r="H29" s="7" t="inlineStr">
        <is>
          <t>학교자율시간 편성분</t>
        </is>
      </c>
      <c r="I29" s="7" t="inlineStr">
        <is>
          <t>최종 시수(편제표 계)</t>
        </is>
      </c>
      <c r="J29" s="7" t="inlineStr">
        <is>
          <t>②·④ 20% 범위(최종 시수)</t>
        </is>
      </c>
      <c r="K29" s="7" t="inlineStr">
        <is>
          <t>③ 체육·예술 감축</t>
        </is>
      </c>
    </row>
    <row r="30">
      <c r="B30" s="8" t="inlineStr">
        <is>
          <t>국어</t>
        </is>
      </c>
      <c r="C30" s="8">
        <f>D7</f>
        <v/>
      </c>
      <c r="D30" s="8">
        <f>INT(C30*0.2)</f>
        <v/>
      </c>
      <c r="E30" s="8">
        <f>C30-D30</f>
        <v/>
      </c>
      <c r="F30" s="8">
        <f>C30+D30</f>
        <v/>
      </c>
      <c r="G30" s="8">
        <f>G7</f>
        <v/>
      </c>
      <c r="H30" s="9">
        <f>SUMIF($D$21:$D$26,"국어",$G$21:$G$26)</f>
        <v/>
      </c>
      <c r="I30" s="8">
        <f>G30+H30</f>
        <v/>
      </c>
      <c r="J30" s="8">
        <f>IF(AND(I30&gt;=E30,I30&lt;=F30),"가능","불가")</f>
        <v/>
      </c>
      <c r="K30" s="8" t="inlineStr">
        <is>
          <t>-</t>
        </is>
      </c>
    </row>
    <row r="31">
      <c r="B31" s="8" t="inlineStr">
        <is>
          <t>사회/도덕</t>
        </is>
      </c>
      <c r="C31" s="8">
        <f>D8+D9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G8+G9</f>
        <v/>
      </c>
      <c r="H31" s="9">
        <f>SUMIF($D$21:$D$26,"사회",$G$21:$G$26)+SUMIF($D$21:$D$26,"도덕",$G$21:$G$26)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수학</t>
        </is>
      </c>
      <c r="C32" s="8">
        <f>D10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G10</f>
        <v/>
      </c>
      <c r="H32" s="9">
        <f>SUMIF($D$21:$D$26,"수학",$G$21:$G$26)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과학</t>
        </is>
      </c>
      <c r="C33" s="8">
        <f>D11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G11</f>
        <v/>
      </c>
      <c r="H33" s="9">
        <f>SUMIF($D$21:$D$26,"과학",$G$21:$G$26)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체육</t>
        </is>
      </c>
      <c r="C34" s="8">
        <f>D12</f>
        <v/>
      </c>
      <c r="D34" s="8">
        <f>INT(C34*0.2)</f>
        <v/>
      </c>
      <c r="E34" s="8">
        <f>C34</f>
        <v/>
      </c>
      <c r="F34" s="8">
        <f>C34+D34</f>
        <v/>
      </c>
      <c r="G34" s="8">
        <f>G12</f>
        <v/>
      </c>
      <c r="H34" s="9">
        <f>SUMIF($D$21:$D$26,"체육",$G$21:$G$26)</f>
        <v/>
      </c>
      <c r="I34" s="8">
        <f>G34+H34</f>
        <v/>
      </c>
      <c r="J34" s="8">
        <f>IF(AND(I34&gt;=E34,I34&lt;=F34),"가능","불가")</f>
        <v/>
      </c>
      <c r="K34" s="8">
        <f>IF(I34&gt;=C34,"가능","불가")</f>
        <v/>
      </c>
    </row>
    <row r="35">
      <c r="B35" s="8" t="inlineStr">
        <is>
          <t>예술(음악/미술)</t>
        </is>
      </c>
      <c r="C35" s="8">
        <f>D13+D14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G13+G14</f>
        <v/>
      </c>
      <c r="H35" s="9">
        <f>SUMIF($D$21:$D$26,"음악",$G$21:$G$26)+SUMIF($D$21:$D$26,"미술",$G$21:$G$26)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영어</t>
        </is>
      </c>
      <c r="C36" s="8">
        <f>D15</f>
        <v/>
      </c>
      <c r="D36" s="8">
        <f>INT(C36*0.2)</f>
        <v/>
      </c>
      <c r="E36" s="8">
        <f>C36-D36</f>
        <v/>
      </c>
      <c r="F36" s="8">
        <f>C36+D36</f>
        <v/>
      </c>
      <c r="G36" s="8">
        <f>G15</f>
        <v/>
      </c>
      <c r="H36" s="9">
        <f>SUMIF($D$21:$D$26,"영어",$G$21:$G$26)</f>
        <v/>
      </c>
      <c r="I36" s="8">
        <f>G36+H36</f>
        <v/>
      </c>
      <c r="J36" s="8">
        <f>IF(AND(I36&gt;=E36,I36&lt;=F36),"가능","불가")</f>
        <v/>
      </c>
      <c r="K36" s="8" t="inlineStr">
        <is>
          <t>-</t>
        </is>
      </c>
    </row>
    <row r="37">
      <c r="B37" s="8" t="inlineStr">
        <is>
          <t>창의적체험활동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SUMIF($D$21:$D$26,"창의적체험활동",$G$21:$G$26)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/>
    <row r="39">
      <c r="B39" s="6" t="inlineStr">
        <is>
          <t>4. 학년·학기 판정</t>
        </is>
      </c>
    </row>
    <row r="40">
      <c r="B40" s="7" t="inlineStr">
        <is>
          <t>학년</t>
        </is>
      </c>
      <c r="C40" s="7" t="inlineStr">
        <is>
          <t>학년 총 수업 시수</t>
        </is>
      </c>
      <c r="D40" s="7" t="inlineStr">
        <is>
          <t>기준 시수(÷34)</t>
        </is>
      </c>
      <c r="E40" s="7" t="inlineStr">
        <is>
          <t>1학기 합</t>
        </is>
      </c>
      <c r="F40" s="7" t="inlineStr">
        <is>
          <t>1학기 개수</t>
        </is>
      </c>
      <c r="G40" s="7" t="inlineStr">
        <is>
          <t>1학기 10시간 미만</t>
        </is>
      </c>
      <c r="H40" s="7" t="inlineStr">
        <is>
          <t>2학기 합</t>
        </is>
      </c>
      <c r="I40" s="7" t="inlineStr">
        <is>
          <t>2학기 개수</t>
        </is>
      </c>
      <c r="J40" s="7" t="inlineStr">
        <is>
          <t>2학기 10시간 미만</t>
        </is>
      </c>
      <c r="K40" s="7" t="inlineStr">
        <is>
          <t>① 한 학기 기준 이상</t>
        </is>
      </c>
      <c r="L40" s="7" t="inlineStr">
        <is>
          <t>⑤ 최대 2개·각 10시간</t>
        </is>
      </c>
      <c r="M40" s="7" t="inlineStr">
        <is>
          <t>⑥ 1·2학기 분산 없음</t>
        </is>
      </c>
      <c r="N40" s="7" t="inlineStr">
        <is>
          <t>편성 여부</t>
        </is>
      </c>
    </row>
    <row r="41">
      <c r="B41" s="8" t="inlineStr">
        <is>
          <t>3학년</t>
        </is>
      </c>
      <c r="C41" s="8">
        <f>E17+SUMIF($E$21:$E$26,3,$G$21:$G$26)</f>
        <v/>
      </c>
      <c r="D41" s="8">
        <f>INT(C41/34)</f>
        <v/>
      </c>
      <c r="E41" s="9">
        <f>SUMIFS($G$21:$G$26,$E$21:$E$26,3,$F$21:$F$26,1)</f>
        <v/>
      </c>
      <c r="F41" s="8">
        <f>COUNTIFS($E$21:$E$26,3,$F$21:$F$26,1,$G$21:$G$26,"&gt;0")</f>
        <v/>
      </c>
      <c r="G41" s="8">
        <f>COUNTIFS($E$21:$E$26,3,$F$21:$F$26,1,$G$21:$G$26,"&gt;0",$G$21:$G$26,"&lt;10")</f>
        <v/>
      </c>
      <c r="H41" s="9">
        <f>SUMIFS($G$21:$G$26,$E$21:$E$26,3,$F$21:$F$26,2)</f>
        <v/>
      </c>
      <c r="I41" s="8">
        <f>COUNTIFS($E$21:$E$26,3,$F$21:$F$26,2,$G$21:$G$26,"&gt;0")</f>
        <v/>
      </c>
      <c r="J41" s="8">
        <f>COUNTIFS($E$21:$E$26,3,$F$21:$F$26,2,$G$21:$G$26,"&gt;0",$G$21:$G$26,"&lt;10")</f>
        <v/>
      </c>
      <c r="K41" s="8">
        <f>IF(E41+H41=0,"미편성",IF(AND(OR(E41=0,E41&gt;=D41),OR(H41=0,H41&gt;=D41)),"가능","불가"))</f>
        <v/>
      </c>
      <c r="L41" s="8">
        <f>IF(E41+H41=0,"-",IF(AND(F41&lt;=2,I41&lt;=2,G41=0,J41=0),"가능","불가"))</f>
        <v/>
      </c>
      <c r="M41" s="8">
        <f>IF(E41+H41=0,"-",IF(OR(COUNTIFS($E$21:$E$26,3,$H$21:$H$26,"분산")&gt;0,AND(E41+H41&gt;=D41,MAX(E41,H41)&lt;D41)),"불가","가능"))</f>
        <v/>
      </c>
      <c r="N41" s="8">
        <f>IF(E41+H41&gt;0,"편성","미편성")</f>
        <v/>
      </c>
    </row>
    <row r="42">
      <c r="B42" s="8" t="inlineStr">
        <is>
          <t>4학년</t>
        </is>
      </c>
      <c r="C42" s="8">
        <f>F17+SUMIF($E$21:$E$26,4,$G$21:$G$26)</f>
        <v/>
      </c>
      <c r="D42" s="8">
        <f>INT(C42/34)</f>
        <v/>
      </c>
      <c r="E42" s="9">
        <f>SUMIFS($G$21:$G$26,$E$21:$E$26,4,$F$21:$F$26,1)</f>
        <v/>
      </c>
      <c r="F42" s="8">
        <f>COUNTIFS($E$21:$E$26,4,$F$21:$F$26,1,$G$21:$G$26,"&gt;0")</f>
        <v/>
      </c>
      <c r="G42" s="8">
        <f>COUNTIFS($E$21:$E$26,4,$F$21:$F$26,1,$G$21:$G$26,"&gt;0",$G$21:$G$26,"&lt;10")</f>
        <v/>
      </c>
      <c r="H42" s="9">
        <f>SUMIFS($G$21:$G$26,$E$21:$E$26,4,$F$21:$F$26,2)</f>
        <v/>
      </c>
      <c r="I42" s="8">
        <f>COUNTIFS($E$21:$E$26,4,$F$21:$F$26,2,$G$21:$G$26,"&gt;0")</f>
        <v/>
      </c>
      <c r="J42" s="8">
        <f>COUNTIFS($E$21:$E$26,4,$F$21:$F$26,2,$G$21:$G$26,"&gt;0",$G$21:$G$26,"&lt;10")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IF(E42+H42=0,"-",IF(OR(COUNTIFS($E$21:$E$26,4,$H$21:$H$26,"분산")&gt;0,AND(E42+H42&gt;=D42,MAX(E42,H42)&lt;D42)),"불가","가능"))</f>
        <v/>
      </c>
      <c r="N42" s="8">
        <f>IF(E42+H42&gt;0,"편성","미편성")</f>
        <v/>
      </c>
    </row>
    <row r="43"/>
    <row r="44">
      <c r="B44" s="6" t="inlineStr">
        <is>
          <t>5. 종합 판정</t>
        </is>
      </c>
    </row>
    <row r="45">
      <c r="B45" s="7" t="inlineStr">
        <is>
          <t>종합(①~⑥)</t>
        </is>
      </c>
      <c r="C45" s="15">
        <f>IF(AND(COUNTIF(J30:K37,"불가")+COUNTIF(K41:M42,"불가")=0,COUNTIF(N41:N42,"편성")&gt;0),"적합","확인 필요")</f>
        <v/>
      </c>
      <c r="D45" s="18" t="n"/>
    </row>
    <row r="46">
      <c r="B46" s="7" t="inlineStr">
        <is>
          <t>2027학년도부터 3·4학년 각 학년 편성</t>
        </is>
      </c>
      <c r="C46" s="15">
        <f>IF(COUNTIF(N41:N42,"편성")=2,"충족","미충족")</f>
        <v/>
      </c>
      <c r="D46" s="18" t="n"/>
    </row>
    <row r="47"/>
    <row r="48" ht="18" customHeight="1">
      <c r="B48" s="16" t="inlineStr">
        <is>
          <t>판정 기준</t>
        </is>
      </c>
    </row>
    <row r="49" ht="18" customHeight="1">
      <c r="B49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0" ht="32" customHeight="1">
      <c r="B50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1" ht="18" customHeight="1">
      <c r="B51" s="5" t="inlineStr">
        <is>
          <t>③ 체육, 예술(음악/미술) 교과(군)은 학교자율시간 편성분을 더한 최종 시수가 국가 기준보다 적으면 안 됨 [QA Q17, GD p.13].</t>
        </is>
      </c>
    </row>
    <row r="52" ht="18" customHeight="1">
      <c r="B52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3" ht="18" customHeight="1">
      <c r="B53" s="5" t="inlineStr">
        <is>
          <t>⑤ 같은 학년·학기에 최대 2개, 2개일 때 1개당 10시간 이상 [QA Q30].</t>
        </is>
      </c>
    </row>
    <row r="54" ht="18" customHeight="1">
      <c r="B54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5" ht="18" customHeight="1">
      <c r="B55" s="5" t="inlineStr">
        <is>
          <t>편성 여부: 2027학년도부터 3~6학년 각 학년별 1개 학기 이상 편성 [기준2026 p.2].</t>
        </is>
      </c>
    </row>
    <row r="56" ht="18" customHeight="1">
      <c r="B56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49:O49"/>
    <mergeCell ref="B53:O53"/>
    <mergeCell ref="C46:D46"/>
    <mergeCell ref="B55:O55"/>
    <mergeCell ref="B52:O52"/>
    <mergeCell ref="B2:O2"/>
    <mergeCell ref="B48:O48"/>
    <mergeCell ref="B54:O54"/>
    <mergeCell ref="C45:D45"/>
    <mergeCell ref="B3:O3"/>
    <mergeCell ref="B51:O51"/>
    <mergeCell ref="B50:O50"/>
  </mergeCells>
  <conditionalFormatting sqref="J30:K37">
    <cfRule type="expression" priority="1" dxfId="0">
      <formula>OR(J30="불가",J30="확인 필요",J30="미충족",J30="미편성",J30="분산",J30="지남")</formula>
    </cfRule>
    <cfRule type="expression" priority="2" dxfId="1">
      <formula>OR(J30="가능",J30="적합",J30="충족",J30="편성",J30="완료")</formula>
    </cfRule>
  </conditionalFormatting>
  <conditionalFormatting sqref="K41:N42">
    <cfRule type="expression" priority="3" dxfId="0">
      <formula>OR(K41="불가",K41="확인 필요",K41="미충족",K41="미편성",K41="분산",K41="지남")</formula>
    </cfRule>
    <cfRule type="expression" priority="4" dxfId="1">
      <formula>OR(K41="가능",K41="적합",K41="충족",K41="편성",K41="완료")</formula>
    </cfRule>
  </conditionalFormatting>
  <conditionalFormatting sqref="C45:C46">
    <cfRule type="expression" priority="5" dxfId="0">
      <formula>OR(C45="불가",C45="확인 필요",C45="미충족",C45="미편성",C45="분산",C45="지남")</formula>
    </cfRule>
    <cfRule type="expression" priority="6" dxfId="1">
      <formula>OR(C45="가능",C45="적합",C45="충족",C45="편성",C45="완료")</formula>
    </cfRule>
  </conditionalFormatting>
  <dataValidations count="4">
    <dataValidation sqref="D21:D26" showDropDown="0" showInputMessage="0" showErrorMessage="0" allowBlank="1" type="list">
      <formula1>"국어,사회,도덕,수학,과학,체육,음악,미술,영어"</formula1>
    </dataValidation>
    <dataValidation sqref="E21:E26" showDropDown="0" showInputMessage="0" showErrorMessage="0" allowBlank="1" type="list">
      <formula1>"3,4"</formula1>
    </dataValidation>
    <dataValidation sqref="F21:F26" showDropDown="0" showInputMessage="0" showErrorMessage="0" allowBlank="1" type="list">
      <formula1>"1,2"</formula1>
    </dataValidation>
    <dataValidation sqref="G21:G26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(5·6학년)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>
      <c r="B4" t="inlineStr">
        <is>
          <t>작성 예시(연구회) — 5학년 「AI와 함께 배우는 SW 교과 융합 프로젝트」·6학년 「인공지능으로 해결하는 실생활 문제해결 프로젝트」을 모두 운영하는 경우. F04 편제표와 같은 수치임. 메모가 달린 칸(【 】)은 학교에서 조정.</t>
        </is>
      </c>
    </row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5학년</t>
        </is>
      </c>
      <c r="F6" s="7" t="inlineStr">
        <is>
          <t>6학년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196</v>
      </c>
      <c r="F7" s="10" t="n">
        <v>196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98</v>
      </c>
      <c r="F8" s="10" t="n">
        <v>98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32</v>
      </c>
      <c r="F9" s="10" t="n">
        <v>32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130</v>
      </c>
      <c r="F10" s="10" t="n">
        <v>130</v>
      </c>
      <c r="G10" s="8">
        <f>E10+F10</f>
        <v/>
      </c>
      <c r="H10" s="8">
        <f>G10-D10</f>
        <v/>
      </c>
    </row>
    <row r="11">
      <c r="B11" s="8" t="inlineStr">
        <is>
          <t>과학/실과</t>
        </is>
      </c>
      <c r="C11" s="8" t="inlineStr">
        <is>
          <t>과학</t>
        </is>
      </c>
      <c r="D11" s="9" t="n">
        <v>204</v>
      </c>
      <c r="E11" s="10" t="n">
        <v>98</v>
      </c>
      <c r="F11" s="10" t="n">
        <v>98</v>
      </c>
      <c r="G11" s="8">
        <f>E11+F11</f>
        <v/>
      </c>
      <c r="H11" s="8">
        <f>G11-D11</f>
        <v/>
      </c>
    </row>
    <row r="12">
      <c r="B12" s="8" t="inlineStr">
        <is>
          <t>과학/실과</t>
        </is>
      </c>
      <c r="C12" s="8" t="inlineStr">
        <is>
          <t>실과</t>
        </is>
      </c>
      <c r="D12" s="9" t="n">
        <v>136</v>
      </c>
      <c r="E12" s="10" t="n">
        <v>68</v>
      </c>
      <c r="F12" s="10" t="n">
        <v>68</v>
      </c>
      <c r="G12" s="8">
        <f>E12+F12</f>
        <v/>
      </c>
      <c r="H12" s="8">
        <f>G12-D12</f>
        <v/>
      </c>
    </row>
    <row r="13">
      <c r="B13" s="8" t="inlineStr">
        <is>
          <t>체육</t>
        </is>
      </c>
      <c r="C13" s="8" t="inlineStr">
        <is>
          <t>체육</t>
        </is>
      </c>
      <c r="D13" s="9" t="n">
        <v>204</v>
      </c>
      <c r="E13" s="10" t="n">
        <v>102</v>
      </c>
      <c r="F13" s="10" t="n">
        <v>102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음악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예술(음악/미술)</t>
        </is>
      </c>
      <c r="C15" s="8" t="inlineStr">
        <is>
          <t>미술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영어</t>
        </is>
      </c>
      <c r="C16" s="8" t="inlineStr">
        <is>
          <t>영어</t>
        </is>
      </c>
      <c r="D16" s="9" t="n">
        <v>204</v>
      </c>
      <c r="E16" s="10" t="n">
        <v>98</v>
      </c>
      <c r="F16" s="10" t="n">
        <v>98</v>
      </c>
      <c r="G16" s="8">
        <f>E16+F16</f>
        <v/>
      </c>
      <c r="H16" s="8">
        <f>G16-D16</f>
        <v/>
      </c>
    </row>
    <row r="17">
      <c r="B17" s="8" t="inlineStr">
        <is>
          <t>창의적체험활동</t>
        </is>
      </c>
      <c r="C17" s="8" t="inlineStr">
        <is>
          <t>창의적체험활동</t>
        </is>
      </c>
      <c r="D17" s="9" t="n">
        <v>204</v>
      </c>
      <c r="E17" s="10" t="n">
        <v>98</v>
      </c>
      <c r="F17" s="10" t="n">
        <v>98</v>
      </c>
      <c r="G17" s="8">
        <f>E17+F17</f>
        <v/>
      </c>
      <c r="H17" s="8">
        <f>G17-D17</f>
        <v/>
      </c>
    </row>
    <row r="18">
      <c r="B18" s="11" t="inlineStr">
        <is>
          <t>소계</t>
        </is>
      </c>
      <c r="C18" s="12" t="inlineStr"/>
      <c r="D18" s="13">
        <f>SUM(D7:D17)</f>
        <v/>
      </c>
      <c r="E18" s="13">
        <f>SUM(E7:E17)</f>
        <v/>
      </c>
      <c r="F18" s="13">
        <f>SUM(F7:F17)</f>
        <v/>
      </c>
      <c r="G18" s="13">
        <f>SUM(G7:G17)</f>
        <v/>
      </c>
      <c r="H18" s="13">
        <f>SUM(H7:H17)</f>
        <v/>
      </c>
    </row>
    <row r="19"/>
    <row r="20">
      <c r="B20" s="6" t="inlineStr">
        <is>
          <t>2. 학교자율시간 입력(한 줄에 한 과목·활동, 한 학기분)</t>
        </is>
      </c>
    </row>
    <row r="21">
      <c r="B21" s="7" t="inlineStr">
        <is>
          <t>번호</t>
        </is>
      </c>
      <c r="C21" s="7" t="inlineStr">
        <is>
          <t>과목·활동명</t>
        </is>
      </c>
      <c r="D21" s="7" t="inlineStr">
        <is>
          <t>편성 교과</t>
        </is>
      </c>
      <c r="E21" s="7" t="inlineStr">
        <is>
          <t>학년</t>
        </is>
      </c>
      <c r="F21" s="7" t="inlineStr">
        <is>
          <t>학기</t>
        </is>
      </c>
      <c r="G21" s="7" t="inlineStr">
        <is>
          <t>시수</t>
        </is>
      </c>
      <c r="H21" s="7" t="inlineStr">
        <is>
          <t>분산 확인</t>
        </is>
      </c>
    </row>
    <row r="22">
      <c r="B22" s="9" t="n">
        <v>1</v>
      </c>
      <c r="C22" s="14" t="inlineStr">
        <is>
          <t>AI와 함께 배우는 SW 교과 융합 프로젝트</t>
        </is>
      </c>
      <c r="D22" s="14" t="inlineStr">
        <is>
          <t>실과</t>
        </is>
      </c>
      <c r="E22" s="14" t="n">
        <v>5</v>
      </c>
      <c r="F22" s="14" t="n">
        <v>1</v>
      </c>
      <c r="G22" s="14" t="n">
        <v>32</v>
      </c>
      <c r="H22" s="8">
        <f>IF(C22="","",IF(COUNTIFS($C$22:$C$27,C22&amp;"",$E$22:$E$27,E22&amp;"",$F$22:$F$27,"&lt;&gt;"&amp;F22)&gt;0,"분산",""))</f>
        <v/>
      </c>
    </row>
    <row r="23">
      <c r="B23" s="9" t="n">
        <v>2</v>
      </c>
      <c r="C23" s="14" t="inlineStr">
        <is>
          <t>인공지능으로 해결하는 실생활 문제해결 프로젝트</t>
        </is>
      </c>
      <c r="D23" s="14" t="inlineStr">
        <is>
          <t>실과</t>
        </is>
      </c>
      <c r="E23" s="14" t="n">
        <v>6</v>
      </c>
      <c r="F23" s="14" t="n">
        <v>1</v>
      </c>
      <c r="G23" s="14" t="n">
        <v>32</v>
      </c>
      <c r="H23" s="8">
        <f>IF(C23="","",IF(COUNTIFS($C$22:$C$27,C23&amp;"",$E$22:$E$27,E23&amp;"",$F$22:$F$27,"&lt;&gt;"&amp;F23)&gt;0,"분산",""))</f>
        <v/>
      </c>
    </row>
    <row r="24">
      <c r="B24" s="9" t="n">
        <v>3</v>
      </c>
      <c r="C24" s="14" t="n"/>
      <c r="D24" s="14" t="n"/>
      <c r="E24" s="14" t="n"/>
      <c r="F24" s="14" t="n"/>
      <c r="G24" s="14" t="n"/>
      <c r="H24" s="8">
        <f>IF(C24="","",IF(COUNTIFS($C$22:$C$27,C24&amp;"",$E$22:$E$27,E24&amp;"",$F$22:$F$27,"&lt;&gt;"&amp;F24)&gt;0,"분산",""))</f>
        <v/>
      </c>
    </row>
    <row r="25">
      <c r="B25" s="9" t="n">
        <v>4</v>
      </c>
      <c r="C25" s="14" t="n"/>
      <c r="D25" s="14" t="n"/>
      <c r="E25" s="14" t="n"/>
      <c r="F25" s="14" t="n"/>
      <c r="G25" s="14" t="n"/>
      <c r="H25" s="8">
        <f>IF(C25="","",IF(COUNTIFS($C$22:$C$27,C25&amp;"",$E$22:$E$27,E25&amp;"",$F$22:$F$27,"&lt;&gt;"&amp;F25)&gt;0,"분산",""))</f>
        <v/>
      </c>
    </row>
    <row r="26">
      <c r="B26" s="9" t="n">
        <v>5</v>
      </c>
      <c r="C26" s="14" t="n"/>
      <c r="D26" s="14" t="n"/>
      <c r="E26" s="14" t="n"/>
      <c r="F26" s="14" t="n"/>
      <c r="G26" s="14" t="n"/>
      <c r="H26" s="8">
        <f>IF(C26="","",IF(COUNTIFS($C$22:$C$27,C26&amp;"",$E$22:$E$27,E26&amp;"",$F$22:$F$27,"&lt;&gt;"&amp;F26)&gt;0,"분산",""))</f>
        <v/>
      </c>
    </row>
    <row r="27">
      <c r="B27" s="9" t="n">
        <v>6</v>
      </c>
      <c r="C27" s="14" t="n"/>
      <c r="D27" s="14" t="n"/>
      <c r="E27" s="14" t="n"/>
      <c r="F27" s="14" t="n"/>
      <c r="G27" s="14" t="n"/>
      <c r="H27" s="8">
        <f>IF(C27="","",IF(COUNTIFS($C$22:$C$27,C27&amp;"",$E$22:$E$27,E27&amp;"",$F$22:$F$27,"&lt;&gt;"&amp;F27)&gt;0,"분산",""))</f>
        <v/>
      </c>
    </row>
    <row r="28"/>
    <row r="29">
      <c r="B29" s="6" t="inlineStr">
        <is>
          <t>3. 교과(군) 판정</t>
        </is>
      </c>
    </row>
    <row r="30">
      <c r="B30" s="7" t="inlineStr">
        <is>
          <t>교과(군)</t>
        </is>
      </c>
      <c r="C30" s="7" t="inlineStr">
        <is>
          <t>국가 기준</t>
        </is>
      </c>
      <c r="D30" s="7" t="inlineStr">
        <is>
          <t>허용 폭(20%)</t>
        </is>
      </c>
      <c r="E30" s="7" t="inlineStr">
        <is>
          <t>최종 하한</t>
        </is>
      </c>
      <c r="F30" s="7" t="inlineStr">
        <is>
          <t>최종 상한</t>
        </is>
      </c>
      <c r="G30" s="7" t="inlineStr">
        <is>
          <t>편성(자율 제외)</t>
        </is>
      </c>
      <c r="H30" s="7" t="inlineStr">
        <is>
          <t>학교자율시간 편성분</t>
        </is>
      </c>
      <c r="I30" s="7" t="inlineStr">
        <is>
          <t>최종 시수(편제표 계)</t>
        </is>
      </c>
      <c r="J30" s="7" t="inlineStr">
        <is>
          <t>②·④ 20% 범위(최종 시수)</t>
        </is>
      </c>
      <c r="K30" s="7" t="inlineStr">
        <is>
          <t>③ 체육·예술 감축</t>
        </is>
      </c>
    </row>
    <row r="31">
      <c r="B31" s="8" t="inlineStr">
        <is>
          <t>국어</t>
        </is>
      </c>
      <c r="C31" s="8">
        <f>D7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G7</f>
        <v/>
      </c>
      <c r="H31" s="9">
        <f>SUMIF($D$22:$D$27,"국어",$G$22:$G$27)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사회/도덕</t>
        </is>
      </c>
      <c r="C32" s="8">
        <f>D8+D9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G8+G9</f>
        <v/>
      </c>
      <c r="H32" s="9">
        <f>SUMIF($D$22:$D$27,"사회",$G$22:$G$27)+SUMIF($D$22:$D$27,"도덕",$G$22:$G$27)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수학</t>
        </is>
      </c>
      <c r="C33" s="8">
        <f>D10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G10</f>
        <v/>
      </c>
      <c r="H33" s="9">
        <f>SUMIF($D$22:$D$27,"수학",$G$22:$G$27)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과학/실과</t>
        </is>
      </c>
      <c r="C34" s="8">
        <f>D11+D12</f>
        <v/>
      </c>
      <c r="D34" s="8">
        <f>INT(C34*0.2)</f>
        <v/>
      </c>
      <c r="E34" s="8">
        <f>C34-D34</f>
        <v/>
      </c>
      <c r="F34" s="8">
        <f>C34+D34</f>
        <v/>
      </c>
      <c r="G34" s="8">
        <f>G11+G12</f>
        <v/>
      </c>
      <c r="H34" s="9">
        <f>SUMIF($D$22:$D$27,"과학",$G$22:$G$27)+SUMIF($D$22:$D$27,"실과",$G$22:$G$27)</f>
        <v/>
      </c>
      <c r="I34" s="8">
        <f>G34+H34</f>
        <v/>
      </c>
      <c r="J34" s="8">
        <f>IF(AND(I34&gt;=E34,I34&lt;=F34),"가능","불가")</f>
        <v/>
      </c>
      <c r="K34" s="8" t="inlineStr">
        <is>
          <t>-</t>
        </is>
      </c>
    </row>
    <row r="35">
      <c r="B35" s="8" t="inlineStr">
        <is>
          <t>체육</t>
        </is>
      </c>
      <c r="C35" s="8">
        <f>D13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</f>
        <v/>
      </c>
      <c r="H35" s="9">
        <f>SUMIF($D$22:$D$27,"체육",$G$22:$G$27)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예술(음악/미술)</t>
        </is>
      </c>
      <c r="C36" s="8">
        <f>D14+D15</f>
        <v/>
      </c>
      <c r="D36" s="8">
        <f>INT(C36*0.2)</f>
        <v/>
      </c>
      <c r="E36" s="8">
        <f>C36</f>
        <v/>
      </c>
      <c r="F36" s="8">
        <f>C36+D36</f>
        <v/>
      </c>
      <c r="G36" s="8">
        <f>G14+G15</f>
        <v/>
      </c>
      <c r="H36" s="9">
        <f>SUMIF($D$22:$D$27,"음악",$G$22:$G$27)+SUMIF($D$22:$D$27,"미술",$G$22:$G$27)</f>
        <v/>
      </c>
      <c r="I36" s="8">
        <f>G36+H36</f>
        <v/>
      </c>
      <c r="J36" s="8">
        <f>IF(AND(I36&gt;=E36,I36&lt;=F36),"가능","불가")</f>
        <v/>
      </c>
      <c r="K36" s="8">
        <f>IF(I36&gt;=C36,"가능","불가")</f>
        <v/>
      </c>
    </row>
    <row r="37">
      <c r="B37" s="8" t="inlineStr">
        <is>
          <t>영어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SUMIF($D$22:$D$27,"영어",$G$22:$G$27)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>
      <c r="B38" s="8" t="inlineStr">
        <is>
          <t>창의적체험활동</t>
        </is>
      </c>
      <c r="C38" s="8">
        <f>D17</f>
        <v/>
      </c>
      <c r="D38" s="8">
        <f>INT(C38*0.2)</f>
        <v/>
      </c>
      <c r="E38" s="8">
        <f>C38-D38</f>
        <v/>
      </c>
      <c r="F38" s="8">
        <f>C38+D38</f>
        <v/>
      </c>
      <c r="G38" s="8">
        <f>G17</f>
        <v/>
      </c>
      <c r="H38" s="9">
        <f>SUMIF($D$22:$D$27,"창의적체험활동",$G$22:$G$27)</f>
        <v/>
      </c>
      <c r="I38" s="8">
        <f>G38+H38</f>
        <v/>
      </c>
      <c r="J38" s="8">
        <f>IF(AND(I38&gt;=E38,I38&lt;=F38),"가능","불가")</f>
        <v/>
      </c>
      <c r="K38" s="8" t="inlineStr">
        <is>
          <t>-</t>
        </is>
      </c>
    </row>
    <row r="39"/>
    <row r="40">
      <c r="B40" s="6" t="inlineStr">
        <is>
          <t>4. 학년·학기 판정</t>
        </is>
      </c>
    </row>
    <row r="41">
      <c r="B41" s="7" t="inlineStr">
        <is>
          <t>학년</t>
        </is>
      </c>
      <c r="C41" s="7" t="inlineStr">
        <is>
          <t>학년 총 수업 시수</t>
        </is>
      </c>
      <c r="D41" s="7" t="inlineStr">
        <is>
          <t>기준 시수(÷34)</t>
        </is>
      </c>
      <c r="E41" s="7" t="inlineStr">
        <is>
          <t>1학기 합</t>
        </is>
      </c>
      <c r="F41" s="7" t="inlineStr">
        <is>
          <t>1학기 개수</t>
        </is>
      </c>
      <c r="G41" s="7" t="inlineStr">
        <is>
          <t>1학기 10시간 미만</t>
        </is>
      </c>
      <c r="H41" s="7" t="inlineStr">
        <is>
          <t>2학기 합</t>
        </is>
      </c>
      <c r="I41" s="7" t="inlineStr">
        <is>
          <t>2학기 개수</t>
        </is>
      </c>
      <c r="J41" s="7" t="inlineStr">
        <is>
          <t>2학기 10시간 미만</t>
        </is>
      </c>
      <c r="K41" s="7" t="inlineStr">
        <is>
          <t>① 한 학기 기준 이상</t>
        </is>
      </c>
      <c r="L41" s="7" t="inlineStr">
        <is>
          <t>⑤ 최대 2개·각 10시간</t>
        </is>
      </c>
      <c r="M41" s="7" t="inlineStr">
        <is>
          <t>⑥ 1·2학기 분산 없음</t>
        </is>
      </c>
      <c r="N41" s="7" t="inlineStr">
        <is>
          <t>편성 여부</t>
        </is>
      </c>
    </row>
    <row r="42">
      <c r="B42" s="8" t="inlineStr">
        <is>
          <t>5학년</t>
        </is>
      </c>
      <c r="C42" s="8">
        <f>E18+SUMIF($E$22:$E$27,5,$G$22:$G$27)</f>
        <v/>
      </c>
      <c r="D42" s="8">
        <f>INT(C42/34)</f>
        <v/>
      </c>
      <c r="E42" s="9">
        <f>SUMIFS($G$22:$G$27,$E$22:$E$27,5,$F$22:$F$27,1)</f>
        <v/>
      </c>
      <c r="F42" s="8">
        <f>COUNTIFS($E$22:$E$27,5,$F$22:$F$27,1,$G$22:$G$27,"&gt;0")</f>
        <v/>
      </c>
      <c r="G42" s="8">
        <f>COUNTIFS($E$22:$E$27,5,$F$22:$F$27,1,$G$22:$G$27,"&gt;0",$G$22:$G$27,"&lt;10")</f>
        <v/>
      </c>
      <c r="H42" s="9">
        <f>SUMIFS($G$22:$G$27,$E$22:$E$27,5,$F$22:$F$27,2)</f>
        <v/>
      </c>
      <c r="I42" s="8">
        <f>COUNTIFS($E$22:$E$27,5,$F$22:$F$27,2,$G$22:$G$27,"&gt;0")</f>
        <v/>
      </c>
      <c r="J42" s="8">
        <f>COUNTIFS($E$22:$E$27,5,$F$22:$F$27,2,$G$22:$G$27,"&gt;0",$G$22:$G$27,"&lt;10")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IF(E42+H42=0,"-",IF(OR(COUNTIFS($E$22:$E$27,5,$H$22:$H$27,"분산")&gt;0,AND(E42+H42&gt;=D42,MAX(E42,H42)&lt;D42)),"불가","가능"))</f>
        <v/>
      </c>
      <c r="N42" s="8">
        <f>IF(E42+H42&gt;0,"편성","미편성")</f>
        <v/>
      </c>
    </row>
    <row r="43">
      <c r="B43" s="8" t="inlineStr">
        <is>
          <t>6학년</t>
        </is>
      </c>
      <c r="C43" s="8">
        <f>F18+SUMIF($E$22:$E$27,6,$G$22:$G$27)</f>
        <v/>
      </c>
      <c r="D43" s="8">
        <f>INT(C43/34)</f>
        <v/>
      </c>
      <c r="E43" s="9">
        <f>SUMIFS($G$22:$G$27,$E$22:$E$27,6,$F$22:$F$27,1)</f>
        <v/>
      </c>
      <c r="F43" s="8">
        <f>COUNTIFS($E$22:$E$27,6,$F$22:$F$27,1,$G$22:$G$27,"&gt;0")</f>
        <v/>
      </c>
      <c r="G43" s="8">
        <f>COUNTIFS($E$22:$E$27,6,$F$22:$F$27,1,$G$22:$G$27,"&gt;0",$G$22:$G$27,"&lt;10")</f>
        <v/>
      </c>
      <c r="H43" s="9">
        <f>SUMIFS($G$22:$G$27,$E$22:$E$27,6,$F$22:$F$27,2)</f>
        <v/>
      </c>
      <c r="I43" s="8">
        <f>COUNTIFS($E$22:$E$27,6,$F$22:$F$27,2,$G$22:$G$27,"&gt;0")</f>
        <v/>
      </c>
      <c r="J43" s="8">
        <f>COUNTIFS($E$22:$E$27,6,$F$22:$F$27,2,$G$22:$G$27,"&gt;0",$G$22:$G$27,"&lt;10")</f>
        <v/>
      </c>
      <c r="K43" s="8">
        <f>IF(E43+H43=0,"미편성",IF(AND(OR(E43=0,E43&gt;=D43),OR(H43=0,H43&gt;=D43)),"가능","불가"))</f>
        <v/>
      </c>
      <c r="L43" s="8">
        <f>IF(E43+H43=0,"-",IF(AND(F43&lt;=2,I43&lt;=2,G43=0,J43=0),"가능","불가"))</f>
        <v/>
      </c>
      <c r="M43" s="8">
        <f>IF(E43+H43=0,"-",IF(OR(COUNTIFS($E$22:$E$27,6,$H$22:$H$27,"분산")&gt;0,AND(E43+H43&gt;=D43,MAX(E43,H43)&lt;D43)),"불가","가능"))</f>
        <v/>
      </c>
      <c r="N43" s="8">
        <f>IF(E43+H43&gt;0,"편성","미편성")</f>
        <v/>
      </c>
    </row>
    <row r="44"/>
    <row r="45">
      <c r="B45" s="6" t="inlineStr">
        <is>
          <t>5. 종합 판정</t>
        </is>
      </c>
    </row>
    <row r="46">
      <c r="B46" s="7" t="inlineStr">
        <is>
          <t>종합(①~⑥)</t>
        </is>
      </c>
      <c r="C46" s="15">
        <f>IF(AND(COUNTIF(J31:K38,"불가")+COUNTIF(K42:M43,"불가")=0,COUNTIF(N42:N43,"편성")&gt;0),"적합","확인 필요")</f>
        <v/>
      </c>
      <c r="D46" s="18" t="n"/>
    </row>
    <row r="47">
      <c r="B47" s="7" t="inlineStr">
        <is>
          <t>2027학년도부터 5·6학년 각 학년 편성</t>
        </is>
      </c>
      <c r="C47" s="15">
        <f>IF(COUNTIF(N42:N43,"편성")=2,"충족","미충족")</f>
        <v/>
      </c>
      <c r="D47" s="18" t="n"/>
    </row>
    <row r="48"/>
    <row r="49" ht="18" customHeight="1">
      <c r="B49" s="16" t="inlineStr">
        <is>
          <t>판정 기준</t>
        </is>
      </c>
    </row>
    <row r="50" ht="18" customHeight="1">
      <c r="B50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1" ht="32" customHeight="1">
      <c r="B51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2" ht="18" customHeight="1">
      <c r="B52" s="5" t="inlineStr">
        <is>
          <t>③ 체육, 예술(음악/미술) 교과(군)은 학교자율시간 편성분을 더한 최종 시수가 국가 기준보다 적으면 안 됨 [QA Q17, GD p.13].</t>
        </is>
      </c>
    </row>
    <row r="53" ht="18" customHeight="1">
      <c r="B53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4" ht="18" customHeight="1">
      <c r="B54" s="5" t="inlineStr">
        <is>
          <t>⑤ 같은 학년·학기에 최대 2개, 2개일 때 1개당 10시간 이상 [QA Q30].</t>
        </is>
      </c>
    </row>
    <row r="55" ht="18" customHeight="1">
      <c r="B55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6" ht="18" customHeight="1">
      <c r="B56" s="5" t="inlineStr">
        <is>
          <t>편성 여부: 2027학년도부터 3~6학년 각 학년별 1개 학기 이상 편성 [기준2026 p.2].</t>
        </is>
      </c>
    </row>
    <row r="57" ht="18" customHeight="1">
      <c r="B57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57:O57"/>
    <mergeCell ref="B49:O49"/>
    <mergeCell ref="C46:D46"/>
    <mergeCell ref="C47:D47"/>
    <mergeCell ref="B53:O53"/>
    <mergeCell ref="B55:O55"/>
    <mergeCell ref="B52:O52"/>
    <mergeCell ref="B2:O2"/>
    <mergeCell ref="B54:O54"/>
    <mergeCell ref="B3:O3"/>
    <mergeCell ref="B51:O51"/>
    <mergeCell ref="B50:O50"/>
  </mergeCells>
  <conditionalFormatting sqref="J31:K38">
    <cfRule type="expression" priority="1" dxfId="0">
      <formula>OR(J31="불가",J31="확인 필요",J31="미충족",J31="미편성",J31="분산",J31="지남")</formula>
    </cfRule>
    <cfRule type="expression" priority="2" dxfId="1">
      <formula>OR(J31="가능",J31="적합",J31="충족",J31="편성",J31="완료")</formula>
    </cfRule>
  </conditionalFormatting>
  <conditionalFormatting sqref="K42:N43">
    <cfRule type="expression" priority="3" dxfId="0">
      <formula>OR(K42="불가",K42="확인 필요",K42="미충족",K42="미편성",K42="분산",K42="지남")</formula>
    </cfRule>
    <cfRule type="expression" priority="4" dxfId="1">
      <formula>OR(K42="가능",K42="적합",K42="충족",K42="편성",K42="완료")</formula>
    </cfRule>
  </conditionalFormatting>
  <conditionalFormatting sqref="C46:C47">
    <cfRule type="expression" priority="5" dxfId="0">
      <formula>OR(C46="불가",C46="확인 필요",C46="미충족",C46="미편성",C46="분산",C46="지남")</formula>
    </cfRule>
    <cfRule type="expression" priority="6" dxfId="1">
      <formula>OR(C46="가능",C46="적합",C46="충족",C46="편성",C46="완료")</formula>
    </cfRule>
  </conditionalFormatting>
  <dataValidations count="4">
    <dataValidation sqref="D22:D27" showDropDown="0" showInputMessage="0" showErrorMessage="0" allowBlank="1" type="list">
      <formula1>"국어,사회,도덕,수학,과학,실과,체육,음악,미술,영어"</formula1>
    </dataValidation>
    <dataValidation sqref="E22:E27" showDropDown="0" showInputMessage="0" showErrorMessage="0" allowBlank="1" type="list">
      <formula1>"5,6"</formula1>
    </dataValidation>
    <dataValidation sqref="F22:F27" showDropDown="0" showInputMessage="0" showErrorMessage="0" allowBlank="1" type="list">
      <formula1>"1,2"</formula1>
    </dataValidation>
    <dataValidation sqref="G22:G27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9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4" customWidth="1" min="3" max="3"/>
    <col width="16" customWidth="1" min="4" max="4"/>
    <col width="8" customWidth="1" min="5" max="5"/>
    <col width="14" customWidth="1" min="6" max="6"/>
    <col width="10" customWidth="1" min="7" max="7"/>
    <col width="16" customWidth="1" min="8" max="8"/>
    <col width="60" customWidth="1" min="9" max="9"/>
  </cols>
  <sheetData>
    <row r="1">
      <c r="B1" s="1" t="inlineStr">
        <is>
          <t>F09 판정 사례 12건 — 규칙이 맞게 작동하는지 확인한 기록</t>
        </is>
      </c>
    </row>
    <row r="2">
      <c r="B2" s="2" t="n"/>
    </row>
    <row r="3"/>
    <row r="4">
      <c r="B4" s="5" t="inlineStr">
        <is>
          <t>각 사례의 입력을 학년군 시트에 그대로 넣으면 아래 결과가 나옵니다. 검증: Microsoft Excel 재계산(COM) + pycel 수식 계산 + 파이썬 재구현 교차 확인 (LibreOffice 없음)</t>
        </is>
      </c>
    </row>
    <row r="5"/>
    <row r="6">
      <c r="B6" s="7" t="inlineStr">
        <is>
          <t>번호</t>
        </is>
      </c>
      <c r="C6" s="7" t="inlineStr">
        <is>
          <t>사례</t>
        </is>
      </c>
      <c r="D6" s="7" t="inlineStr">
        <is>
          <t>확인한 판정</t>
        </is>
      </c>
      <c r="E6" s="7" t="inlineStr">
        <is>
          <t>기대</t>
        </is>
      </c>
      <c r="F6" s="7" t="inlineStr">
        <is>
          <t>이 파일 수식 결과</t>
        </is>
      </c>
      <c r="G6" s="7" t="inlineStr">
        <is>
          <t>종합 판정</t>
        </is>
      </c>
      <c r="H6" s="7" t="inlineStr">
        <is>
          <t>근거</t>
        </is>
      </c>
      <c r="I6" s="7" t="inlineStr">
        <is>
          <t>입력(학년1 시수 변경 / 학교자율시간)</t>
        </is>
      </c>
    </row>
    <row r="7" ht="32" customHeight="1">
      <c r="B7" s="8" t="inlineStr">
        <is>
          <t>C01</t>
        </is>
      </c>
      <c r="C7" s="17" t="inlineStr">
        <is>
          <t>3·4학년 영어 136 + 영어 편성 학교자율시간 29 = 165</t>
        </is>
      </c>
      <c r="D7" s="8" t="inlineStr">
        <is>
          <t>교과(군) 영어 ④</t>
        </is>
      </c>
      <c r="E7" s="8" t="inlineStr">
        <is>
          <t>불가</t>
        </is>
      </c>
      <c r="F7" s="8" t="inlineStr">
        <is>
          <t>불가</t>
        </is>
      </c>
      <c r="G7" s="8" t="inlineStr">
        <is>
          <t>확인 필요</t>
        </is>
      </c>
      <c r="H7" s="8" t="inlineStr">
        <is>
          <t>QA Q21</t>
        </is>
      </c>
      <c r="I7" s="17" t="inlineStr">
        <is>
          <t>3·4학년: 국어 -29 / 영어 활동(영어, 3학년 1학기, 29시간)</t>
        </is>
      </c>
    </row>
    <row r="8" ht="32" customHeight="1">
      <c r="B8" s="8" t="inlineStr">
        <is>
          <t>C02</t>
        </is>
      </c>
      <c r="C8" s="17" t="inlineStr">
        <is>
          <t>체육 204 + 체육 편성 자율 29 = 233</t>
        </is>
      </c>
      <c r="D8" s="8" t="inlineStr">
        <is>
          <t>종합</t>
        </is>
      </c>
      <c r="E8" s="8" t="inlineStr">
        <is>
          <t>적합</t>
        </is>
      </c>
      <c r="F8" s="8" t="inlineStr">
        <is>
          <t>적합</t>
        </is>
      </c>
      <c r="G8" s="8" t="inlineStr">
        <is>
          <t>적합</t>
        </is>
      </c>
      <c r="H8" s="8" t="inlineStr">
        <is>
          <t>GD p.13</t>
        </is>
      </c>
      <c r="I8" s="17" t="inlineStr">
        <is>
          <t>3·4학년: 국어 -29 / 체육 활동(체육, 3학년 1학기, 29시간)</t>
        </is>
      </c>
    </row>
    <row r="9" ht="32" customHeight="1">
      <c r="B9" s="8" t="inlineStr">
        <is>
          <t>C03</t>
        </is>
      </c>
      <c r="C9" s="17" t="inlineStr">
        <is>
          <t>체육 175 + 체육 편성 자율 29 = 204</t>
        </is>
      </c>
      <c r="D9" s="8" t="inlineStr">
        <is>
          <t>종합</t>
        </is>
      </c>
      <c r="E9" s="8" t="inlineStr">
        <is>
          <t>적합</t>
        </is>
      </c>
      <c r="F9" s="8" t="inlineStr">
        <is>
          <t>적합</t>
        </is>
      </c>
      <c r="G9" s="8" t="inlineStr">
        <is>
          <t>적합</t>
        </is>
      </c>
      <c r="H9" s="8" t="inlineStr">
        <is>
          <t>GD p.13</t>
        </is>
      </c>
      <c r="I9" s="17" t="inlineStr">
        <is>
          <t>3·4학년: 체육 -29 / 체육 활동(체육, 3학년 1학기, 29시간)</t>
        </is>
      </c>
    </row>
    <row r="10" ht="32" customHeight="1">
      <c r="B10" s="8" t="inlineStr">
        <is>
          <t>C04</t>
        </is>
      </c>
      <c r="C10" s="17" t="inlineStr">
        <is>
          <t>체육 186 + 체육 편성 자율 17 = 203</t>
        </is>
      </c>
      <c r="D10" s="8" t="inlineStr">
        <is>
          <t>교과(군) 체육 ③</t>
        </is>
      </c>
      <c r="E10" s="8" t="inlineStr">
        <is>
          <t>불가</t>
        </is>
      </c>
      <c r="F10" s="8" t="inlineStr">
        <is>
          <t>불가</t>
        </is>
      </c>
      <c r="G10" s="8" t="inlineStr">
        <is>
          <t>확인 필요</t>
        </is>
      </c>
      <c r="H10" s="8" t="inlineStr">
        <is>
          <t>GD p.13</t>
        </is>
      </c>
      <c r="I10" s="17" t="inlineStr">
        <is>
          <t>3·4학년: 체육 -18 / 체육 활동(체육, 3학년 1학기, 17시간)</t>
        </is>
      </c>
    </row>
    <row r="11" ht="32" customHeight="1">
      <c r="B11" s="8" t="inlineStr">
        <is>
          <t>C05</t>
        </is>
      </c>
      <c r="C11" s="17" t="inlineStr">
        <is>
          <t>체육 175 + 체육 외 교과(국어) 편성 자율 29 → 체육 175</t>
        </is>
      </c>
      <c r="D11" s="8" t="inlineStr">
        <is>
          <t>교과(군) 체육 ③</t>
        </is>
      </c>
      <c r="E11" s="8" t="inlineStr">
        <is>
          <t>불가</t>
        </is>
      </c>
      <c r="F11" s="8" t="inlineStr">
        <is>
          <t>불가</t>
        </is>
      </c>
      <c r="G11" s="8" t="inlineStr">
        <is>
          <t>확인 필요</t>
        </is>
      </c>
      <c r="H11" s="8" t="inlineStr">
        <is>
          <t>GD p.13</t>
        </is>
      </c>
      <c r="I11" s="17" t="inlineStr">
        <is>
          <t>3·4학년: 체육 -29 / 국어 활동(국어, 3학년 1학기, 29시간)</t>
        </is>
      </c>
    </row>
    <row r="12" ht="32" customHeight="1">
      <c r="B12" s="8" t="inlineStr">
        <is>
          <t>C06</t>
        </is>
      </c>
      <c r="C12" s="17" t="inlineStr">
        <is>
          <t>같은 학기 15 + 10 + 4 (3개)</t>
        </is>
      </c>
      <c r="D12" s="8" t="inlineStr">
        <is>
          <t>3 ⑤</t>
        </is>
      </c>
      <c r="E12" s="8" t="inlineStr">
        <is>
          <t>불가</t>
        </is>
      </c>
      <c r="F12" s="8" t="inlineStr">
        <is>
          <t>불가</t>
        </is>
      </c>
      <c r="G12" s="8" t="inlineStr">
        <is>
          <t>확인 필요</t>
        </is>
      </c>
      <c r="H12" s="8" t="inlineStr">
        <is>
          <t>QA Q30</t>
        </is>
      </c>
      <c r="I12" s="17" t="inlineStr">
        <is>
          <t>3·4학년: 국어 -15, 사회 -10, 과학 -4 / 가(국어, 3학년 1학기, 15시간), 나(사회, 3학년 1학기, 10시간), 다(과학, 3학년 1학기, 4시간)</t>
        </is>
      </c>
    </row>
    <row r="13" ht="32" customHeight="1">
      <c r="B13" s="8" t="inlineStr">
        <is>
          <t>C07</t>
        </is>
      </c>
      <c r="C13" s="17" t="inlineStr">
        <is>
          <t>같은 학기 15 + 14 (2개, 각 10시간 이상)</t>
        </is>
      </c>
      <c r="D13" s="8" t="inlineStr">
        <is>
          <t>종합</t>
        </is>
      </c>
      <c r="E13" s="8" t="inlineStr">
        <is>
          <t>적합</t>
        </is>
      </c>
      <c r="F13" s="8" t="inlineStr">
        <is>
          <t>적합</t>
        </is>
      </c>
      <c r="G13" s="8" t="inlineStr">
        <is>
          <t>적합</t>
        </is>
      </c>
      <c r="H13" s="8" t="inlineStr">
        <is>
          <t>QA Q30</t>
        </is>
      </c>
      <c r="I13" s="17" t="inlineStr">
        <is>
          <t>3·4학년: 국어 -15, 사회 -14 / 가(국어, 3학년 1학기, 15시간), 나(사회, 3학년 1학기, 14시간)</t>
        </is>
      </c>
    </row>
    <row r="14" ht="32" customHeight="1">
      <c r="B14" s="8" t="inlineStr">
        <is>
          <t>C08</t>
        </is>
      </c>
      <c r="C14" s="17" t="inlineStr">
        <is>
          <t>같은 학기 20 + 9 (9시간이 10시간 미만)</t>
        </is>
      </c>
      <c r="D14" s="8" t="inlineStr">
        <is>
          <t>3 ⑤</t>
        </is>
      </c>
      <c r="E14" s="8" t="inlineStr">
        <is>
          <t>불가</t>
        </is>
      </c>
      <c r="F14" s="8" t="inlineStr">
        <is>
          <t>불가</t>
        </is>
      </c>
      <c r="G14" s="8" t="inlineStr">
        <is>
          <t>확인 필요</t>
        </is>
      </c>
      <c r="H14" s="8" t="inlineStr">
        <is>
          <t>QA Q30</t>
        </is>
      </c>
      <c r="I14" s="17" t="inlineStr">
        <is>
          <t>3·4학년: 국어 -20, 사회 -9 / 가(국어, 3학년 1학기, 20시간), 나(사회, 3학년 1학기, 9시간)</t>
        </is>
      </c>
    </row>
    <row r="15" ht="32" customHeight="1">
      <c r="B15" s="8" t="inlineStr">
        <is>
          <t>C09</t>
        </is>
      </c>
      <c r="C15" s="17" t="inlineStr">
        <is>
          <t>같은 활동을 1학기 15 + 2학기 14로 분산</t>
        </is>
      </c>
      <c r="D15" s="8" t="inlineStr">
        <is>
          <t>3 ⑥</t>
        </is>
      </c>
      <c r="E15" s="8" t="inlineStr">
        <is>
          <t>불가</t>
        </is>
      </c>
      <c r="F15" s="8" t="inlineStr">
        <is>
          <t>불가</t>
        </is>
      </c>
      <c r="G15" s="8" t="inlineStr">
        <is>
          <t>확인 필요</t>
        </is>
      </c>
      <c r="H15" s="8" t="inlineStr">
        <is>
          <t>GD p.11~12, QA Q20</t>
        </is>
      </c>
      <c r="I15" s="17" t="inlineStr">
        <is>
          <t>3·4학년: 국어 -29 / 가(국어, 3학년 1학기, 15시간), 가(국어, 3학년 2학기, 14시간)</t>
        </is>
      </c>
    </row>
    <row r="16" ht="32" customHeight="1">
      <c r="B16" s="8" t="inlineStr">
        <is>
          <t>C10</t>
        </is>
      </c>
      <c r="C16" s="17" t="inlineStr">
        <is>
          <t>5학년 실과 편성 활동 32(국어·사회·수학·과학·창체에서 확보)</t>
        </is>
      </c>
      <c r="D16" s="8" t="inlineStr">
        <is>
          <t>종합</t>
        </is>
      </c>
      <c r="E16" s="8" t="inlineStr">
        <is>
          <t>적합</t>
        </is>
      </c>
      <c r="F16" s="8" t="inlineStr">
        <is>
          <t>적합</t>
        </is>
      </c>
      <c r="G16" s="8" t="inlineStr">
        <is>
          <t>적합</t>
        </is>
      </c>
      <c r="H16" s="8" t="inlineStr">
        <is>
          <t>GD p.12, QA Q21</t>
        </is>
      </c>
      <c r="I16" s="17" t="inlineStr">
        <is>
          <t>5·6학년: 국어 -10, 사회 -4, 수학 -4, 과학 -6, 창의적체험활동 -8 / SW 활동(실과, 5학년 1학기, 32시간)</t>
        </is>
      </c>
    </row>
    <row r="17" ht="32" customHeight="1">
      <c r="B17" s="8" t="inlineStr">
        <is>
          <t>C11</t>
        </is>
      </c>
      <c r="C17" s="17" t="inlineStr">
        <is>
          <t>순증: 3학년 총 999시간 → 기준 29시간, 29시간 편성</t>
        </is>
      </c>
      <c r="D17" s="8" t="inlineStr">
        <is>
          <t>3 ①</t>
        </is>
      </c>
      <c r="E17" s="8" t="inlineStr">
        <is>
          <t>가능</t>
        </is>
      </c>
      <c r="F17" s="8" t="inlineStr">
        <is>
          <t>가능</t>
        </is>
      </c>
      <c r="G17" s="8" t="inlineStr">
        <is>
          <t>적합</t>
        </is>
      </c>
      <c r="H17" s="8" t="inlineStr">
        <is>
          <t>QA Q18</t>
        </is>
      </c>
      <c r="I17" s="17" t="inlineStr">
        <is>
          <t>3·4학년: 국어 -16 / 가(국어, 3학년 1학기, 29시간)</t>
        </is>
      </c>
    </row>
    <row r="18" ht="32" customHeight="1">
      <c r="B18" s="8" t="inlineStr">
        <is>
          <t>C12</t>
        </is>
      </c>
      <c r="C18" s="17" t="inlineStr">
        <is>
          <t>순증: 3학년 총 1,039시간 → 기준 30시간, 29시간만 편성</t>
        </is>
      </c>
      <c r="D18" s="8" t="inlineStr">
        <is>
          <t>3 ①</t>
        </is>
      </c>
      <c r="E18" s="8" t="inlineStr">
        <is>
          <t>불가</t>
        </is>
      </c>
      <c r="F18" s="8" t="inlineStr">
        <is>
          <t>불가</t>
        </is>
      </c>
      <c r="G18" s="8" t="inlineStr">
        <is>
          <t>확인 필요</t>
        </is>
      </c>
      <c r="H18" s="8" t="inlineStr">
        <is>
          <t>QA Q18</t>
        </is>
      </c>
      <c r="I18" s="17" t="inlineStr">
        <is>
          <t>3·4학년: 국어 +24 / 가(국어, 3학년 1학기, 29시간)</t>
        </is>
      </c>
    </row>
    <row r="19" ht="32" customHeight="1">
      <c r="B19" s="8" t="inlineStr">
        <is>
          <t>C13</t>
        </is>
      </c>
      <c r="C19" s="17" t="inlineStr">
        <is>
          <t>5학년 과학 −70, 실과 편성 활동 32 → 과학/실과 최종 302(272~408 안)</t>
        </is>
      </c>
      <c r="D19" s="8" t="inlineStr">
        <is>
          <t>교과(군) 과학/실과 ②</t>
        </is>
      </c>
      <c r="E19" s="8" t="inlineStr">
        <is>
          <t>가능</t>
        </is>
      </c>
      <c r="F19" s="8" t="inlineStr">
        <is>
          <t>가능</t>
        </is>
      </c>
      <c r="G19" s="8" t="inlineStr">
        <is>
          <t>적합</t>
        </is>
      </c>
      <c r="H19" s="8" t="inlineStr">
        <is>
          <t>GD p.12, QA Q21(감수 사례 K19)</t>
        </is>
      </c>
      <c r="I19" s="17" t="inlineStr">
        <is>
          <t>5·6학년: 과학 -70 / SW 활동(실과, 5학년 1학기, 32시간)</t>
        </is>
      </c>
    </row>
    <row r="20" ht="32" customHeight="1">
      <c r="B20" s="8" t="inlineStr">
        <is>
          <t>C14</t>
        </is>
      </c>
      <c r="C20" s="17" t="inlineStr">
        <is>
          <t>같은 사례의 종합 판정</t>
        </is>
      </c>
      <c r="D20" s="8" t="inlineStr">
        <is>
          <t>종합</t>
        </is>
      </c>
      <c r="E20" s="8" t="inlineStr">
        <is>
          <t>적합</t>
        </is>
      </c>
      <c r="F20" s="8" t="inlineStr">
        <is>
          <t>적합</t>
        </is>
      </c>
      <c r="G20" s="8" t="inlineStr">
        <is>
          <t>적합</t>
        </is>
      </c>
      <c r="H20" s="8" t="inlineStr">
        <is>
          <t>GD p.12, QA Q21</t>
        </is>
      </c>
      <c r="I20" s="17" t="inlineStr">
        <is>
          <t>5·6학년: 과학 -70 / SW 활동(실과, 5학년 1학기, 32시간)</t>
        </is>
      </c>
    </row>
  </sheetData>
  <mergeCells count="3">
    <mergeCell ref="B1:I1"/>
    <mergeCell ref="B2:I2"/>
    <mergeCell ref="B4:J4"/>
  </mergeCells>
  <conditionalFormatting sqref="E7:G20">
    <cfRule type="expression" priority="1" dxfId="0">
      <formula>OR(E7="불가",E7="확인 필요",E7="미충족",E7="미편성",E7="분산",E7="지남")</formula>
    </cfRule>
    <cfRule type="expression" priority="2" dxfId="1">
      <formula>OR(E7="가능",E7="적합",E7="충족",E7="편성",E7="완료")</formula>
    </cfRule>
  </conditionalFormatting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2026-09-28T04:35:51Z</dcterms:modified>
</cp:coreProperties>
</file>